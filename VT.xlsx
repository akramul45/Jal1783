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RD" sheetId="2" r:id="rId5"/>
    <sheet state="visible" name="Sheet3" sheetId="3" r:id="rId6"/>
  </sheets>
  <definedNames/>
  <calcPr/>
  <extLst>
    <ext uri="GoogleSheetsCustomDataVersion2">
      <go:sheetsCustomData xmlns:go="http://customooxmlschemas.google.com/" r:id="rId7" roundtripDataChecksum="0t4rPqjgwTq1IyOXPbYASyXVd4fSmMEE2uPSaAaWxDk="/>
    </ext>
  </extLst>
</workbook>
</file>

<file path=xl/sharedStrings.xml><?xml version="1.0" encoding="utf-8"?>
<sst xmlns="http://schemas.openxmlformats.org/spreadsheetml/2006/main" count="8406" uniqueCount="2856">
  <si>
    <t>ক্রমিক নং</t>
  </si>
  <si>
    <t>নাম</t>
  </si>
  <si>
    <t>পিতা</t>
  </si>
  <si>
    <t>মাতা</t>
  </si>
  <si>
    <t>ভোটার নং</t>
  </si>
  <si>
    <t>জন্ম তারিখ</t>
  </si>
  <si>
    <t>পেশা</t>
  </si>
  <si>
    <t>ঠিকানা</t>
  </si>
  <si>
    <t>মোঃ জামাল উদ্দীন</t>
  </si>
  <si>
    <t>মোঃ রুহুল আমিন</t>
  </si>
  <si>
    <t>মোছাঃ আনজুরা বেগম</t>
  </si>
  <si>
    <t>২৫/০৫/১৯৮০</t>
  </si>
  <si>
    <t>কৃষক</t>
  </si>
  <si>
    <t>জালশুকা, গাংনী, মেহেরপুর</t>
  </si>
  <si>
    <t>মোহাঃ মতিয়ার রহমান</t>
  </si>
  <si>
    <t>মোহাঃ সুলতান মন্ডল</t>
  </si>
  <si>
    <t>মোছাঃ রাহিমা খাতুন</t>
  </si>
  <si>
    <t>১০/১০/১৯৮৮</t>
  </si>
  <si>
    <t xml:space="preserve">মাইগ্রেট হয়েছে </t>
  </si>
  <si>
    <t>মোঃ হাশমত আলী</t>
  </si>
  <si>
    <t>মোহাঃ মুন্তাজ আলী</t>
  </si>
  <si>
    <t>মোছাঃ ইশারন</t>
  </si>
  <si>
    <t>১০/০৬/১৯৮৫</t>
  </si>
  <si>
    <t>মোঃ আলাউদ্দীন</t>
  </si>
  <si>
    <t>মোঃ ফজল উদ্দীন</t>
  </si>
  <si>
    <t>আনোয়ারা খাতুন</t>
  </si>
  <si>
    <t>০২/০৩/১৯৮৪</t>
  </si>
  <si>
    <t>মিস্ত্রী</t>
  </si>
  <si>
    <t>জালশুকা, কসবা, গাংনী, মেহেরপুর</t>
  </si>
  <si>
    <t>মোঃ ফরজুল্লাহ হক</t>
  </si>
  <si>
    <t>মোঃ মুন্তাজ আলী</t>
  </si>
  <si>
    <t>মোছাঃ ইশারন নেছা</t>
  </si>
  <si>
    <t>০১/০১/১৯৮৫</t>
  </si>
  <si>
    <t>মোঃ শহিদুল ইসলাম</t>
  </si>
  <si>
    <t>মোঃ জমশেদ আলী</t>
  </si>
  <si>
    <t>মোছাঃ হাসিনা খাতুন</t>
  </si>
  <si>
    <t>১০/১০/১৯৮৭</t>
  </si>
  <si>
    <t>ব্যবসা</t>
  </si>
  <si>
    <t>মোঃ মিনারুল ইসলাম</t>
  </si>
  <si>
    <t>মোঃ রফেজউদ্দীন</t>
  </si>
  <si>
    <t>মোছাঃ আছিয়া খাতুন</t>
  </si>
  <si>
    <t>০৫/০৬/১৯৭৫</t>
  </si>
  <si>
    <t>মোঃ কাবরুল হোসেন</t>
  </si>
  <si>
    <t>মোঃ মোশারফ হোসেন</t>
  </si>
  <si>
    <t>মোছাঃ রসুলা খাতুন</t>
  </si>
  <si>
    <t>০১/০১/১৯৬৭</t>
  </si>
  <si>
    <t>মোঃ মাহবুব আলম</t>
  </si>
  <si>
    <t>মোঃ মনিরুল ইসলাম</t>
  </si>
  <si>
    <t>মোছাঃ হাজেরা খাতুন</t>
  </si>
  <si>
    <t>০২/০৭/১৯৮৯</t>
  </si>
  <si>
    <t>ছাত্র/ছাত্রী</t>
  </si>
  <si>
    <t>মোঃ আতিয়ার রহমান</t>
  </si>
  <si>
    <t>মোঃ শহিদুল</t>
  </si>
  <si>
    <t>মোছাঃ সারেজান</t>
  </si>
  <si>
    <t>৩০/১১/১৯৭১</t>
  </si>
  <si>
    <t>মোঃ দাউদ হোসেন</t>
  </si>
  <si>
    <t>মোঃ ইউসুফ বিশ্বাস</t>
  </si>
  <si>
    <t>মোছাঃ জাহিদা খাতুন</t>
  </si>
  <si>
    <t>মোঃ আখতারুল হোসেন</t>
  </si>
  <si>
    <t>মোঃ মহসীন আলী</t>
  </si>
  <si>
    <t>মোছাঃ ছুরাতন নেছা</t>
  </si>
  <si>
    <t>০৫/০৬/১৯৮৭</t>
  </si>
  <si>
    <t>দিনমজুর</t>
  </si>
  <si>
    <t>সাবদাল বিশ্বাস</t>
  </si>
  <si>
    <t>মোছাঃ রহিমা</t>
  </si>
  <si>
    <t>০৩/০২/১৯৫৭</t>
  </si>
  <si>
    <t>মোঃ রবিউল হক</t>
  </si>
  <si>
    <t>আখের আলী মন্ডল</t>
  </si>
  <si>
    <t>মোছাঃ মাহিরন নেছা</t>
  </si>
  <si>
    <t>০৩/০১/১৯৪৭</t>
  </si>
  <si>
    <t>জালশুকা</t>
  </si>
  <si>
    <t>গাংনী</t>
  </si>
  <si>
    <t>মেহেরপুর</t>
  </si>
  <si>
    <t>রহিম বক্স</t>
  </si>
  <si>
    <t>মোছাঃ ওছিরন নেছা</t>
  </si>
  <si>
    <t>০৩/০৪/১৯৫৭</t>
  </si>
  <si>
    <t>মোঃ জিনারুল ইসলাম</t>
  </si>
  <si>
    <t>মোছাঃ আছিয়া খাতুন</t>
  </si>
  <si>
    <t>৩১/১২/১৯৮৩</t>
  </si>
  <si>
    <t>মোঃ বুরহান উদ্দীন</t>
  </si>
  <si>
    <t>মোঃ রবিউল ইসলাম</t>
  </si>
  <si>
    <t>আরিজনা খাতুন</t>
  </si>
  <si>
    <t>০১/০১/১৯৮৭</t>
  </si>
  <si>
    <t>মোঃ মাবুদ আলী</t>
  </si>
  <si>
    <t>আখের আলি</t>
  </si>
  <si>
    <t>০১/০৪/১৯৫২</t>
  </si>
  <si>
    <t>মোঃ জাহাঙ্গীর হোসেন</t>
  </si>
  <si>
    <t>আজিজার বিশ্বাস</t>
  </si>
  <si>
    <t>মোছাঃ জাহানারা</t>
  </si>
  <si>
    <t>মেহরপুর</t>
  </si>
  <si>
    <t>মোঃ আব্দুর রহমান</t>
  </si>
  <si>
    <t>০৪/০৪/১৯৫১</t>
  </si>
  <si>
    <t>মোঃ ফজলুল হক</t>
  </si>
  <si>
    <t>খোদা বক্স মন্ডল</t>
  </si>
  <si>
    <t>মোছাঃ ওকিমন নেছা</t>
  </si>
  <si>
    <t>০১/০১/১৯৮৩</t>
  </si>
  <si>
    <t>ডাক্তার</t>
  </si>
  <si>
    <t xml:space="preserve"> জালশুকা, গাংনী, মেহেরপুর </t>
  </si>
  <si>
    <t>মোঃ সহিদুল ইসলাম</t>
  </si>
  <si>
    <t>খোদা বকস</t>
  </si>
  <si>
    <t>মোছাঃ ওকিরন নেছা</t>
  </si>
  <si>
    <t>০৪/০২/১৯৫৯</t>
  </si>
  <si>
    <t>মোঃ ইলিয়াস হোসেন</t>
  </si>
  <si>
    <t>মোঃ তারা চাঁদ মন্ডল</t>
  </si>
  <si>
    <t>মোছাঃ ছপুরা খাতুন</t>
  </si>
  <si>
    <t>০৬/০৬/১৯৭১</t>
  </si>
  <si>
    <t>মোঃ আঃ খালেক</t>
  </si>
  <si>
    <t>খোদা বক্স</t>
  </si>
  <si>
    <t>০১/০১/১৯৫৬</t>
  </si>
  <si>
    <t>মোঃ জহুরুল ইসলাম</t>
  </si>
  <si>
    <t>০১/০১/১৯৭৭</t>
  </si>
  <si>
    <t>মোঃ মোতালেব হোসেন</t>
  </si>
  <si>
    <t>মোঃ আবু তালেব</t>
  </si>
  <si>
    <t>মোছাঃ রাজিয়া খাতুন</t>
  </si>
  <si>
    <t>০১/০৫/১৯৬৩</t>
  </si>
  <si>
    <t>৩১/১২/১৯৮৪</t>
  </si>
  <si>
    <t>মোঃ দবির উদ্দীন</t>
  </si>
  <si>
    <t>বদরুদ্দীন</t>
  </si>
  <si>
    <t>হাওয়া খাতুন</t>
  </si>
  <si>
    <t>০৬/০৪/১৯৫৭</t>
  </si>
  <si>
    <t>মোঃ জাহিদুল ইসলাম</t>
  </si>
  <si>
    <t>মোঃ খবির উদ্দীন</t>
  </si>
  <si>
    <t>মোছাঃ জাহেদা খাতুন</t>
  </si>
  <si>
    <t>০৫/০৭/১৯৮৮</t>
  </si>
  <si>
    <t>মোঃ আনারুল ইসলাম</t>
  </si>
  <si>
    <t>রবেজল মন্ডল</t>
  </si>
  <si>
    <t>মোছাঃ হামেদা খাতুন</t>
  </si>
  <si>
    <t>০৩/১০/১৯৬৭</t>
  </si>
  <si>
    <t>মোঃ শফিকুল ইসলাম</t>
  </si>
  <si>
    <t>মকেছদ আলী</t>
  </si>
  <si>
    <t>মোছাঃ রশিদা খাতুন</t>
  </si>
  <si>
    <t>০৬/০৩/১৯৭৯</t>
  </si>
  <si>
    <t>মোঃ জাফরুল্লা</t>
  </si>
  <si>
    <t>মোঃ সিদ্দিক আলী</t>
  </si>
  <si>
    <t>মোছাঃ রহিমা নেছা</t>
  </si>
  <si>
    <t>০২/০৩/১৯৭৭</t>
  </si>
  <si>
    <t>মোঃ আব্দুর রাজ্জাক</t>
  </si>
  <si>
    <t>নুর বকস মন্ডল</t>
  </si>
  <si>
    <t>মোছাঃ রাহাতন নেছা</t>
  </si>
  <si>
    <t>রহিম বকস</t>
  </si>
  <si>
    <t>০২/০৩/১৯৬৩</t>
  </si>
  <si>
    <t>মোঃ নিজাম উদ্দীন</t>
  </si>
  <si>
    <t>মোছাঃ আলতা খাতুন</t>
  </si>
  <si>
    <t>১৫/০৬/১৯৮২</t>
  </si>
  <si>
    <t>মোঃ শামিম হোসেন</t>
  </si>
  <si>
    <t>মোঃ বশির উদ্দীন</t>
  </si>
  <si>
    <t>মোছাঃ আকলিমা খাতুন</t>
  </si>
  <si>
    <t>১৮/০৭/১৯৮২</t>
  </si>
  <si>
    <t>মোঃ দুলাল হোসেন</t>
  </si>
  <si>
    <t>১৫/০৩/১৯৭৯</t>
  </si>
  <si>
    <t>মোঃ রমজান আলী</t>
  </si>
  <si>
    <t>মোঃ আবু সিদ্দিক</t>
  </si>
  <si>
    <t>মোছাঃ রহিমা খাতুন</t>
  </si>
  <si>
    <t>০৩/০২/১৯৬৯</t>
  </si>
  <si>
    <t>মোঃ মহিবুল হক</t>
  </si>
  <si>
    <t>মোঃ জমির উদ্দীন</t>
  </si>
  <si>
    <t>মোছাঃ হাজেরা বেগম</t>
  </si>
  <si>
    <t>০১/০৭/১৯৭২</t>
  </si>
  <si>
    <t>মোঃ আকরামুল হক</t>
  </si>
  <si>
    <t>মোঃ আজগার আলি</t>
  </si>
  <si>
    <t>মোছাঃ লিলি বেগম</t>
  </si>
  <si>
    <t>০১/০২/১৯৮৬</t>
  </si>
  <si>
    <t>মোঃ রেজাউল হক</t>
  </si>
  <si>
    <t>সুরত আলি</t>
  </si>
  <si>
    <t>নিগারন নেছা</t>
  </si>
  <si>
    <t>০৫/০৬/১৯৪২</t>
  </si>
  <si>
    <t>মাদার শেখ</t>
  </si>
  <si>
    <t>কদভানু</t>
  </si>
  <si>
    <t>০৪/০৫/১৯৫২</t>
  </si>
  <si>
    <t>মোঃ রকিবুল ইসলাম</t>
  </si>
  <si>
    <t>মোঃ হায়দার আলি</t>
  </si>
  <si>
    <t>মোছাঃ ফাতেমা খাতুন</t>
  </si>
  <si>
    <t>১০/১১/১৯৮১</t>
  </si>
  <si>
    <t>মোঃ ফারুক হোসেন</t>
  </si>
  <si>
    <t>১০/০৩/১৯৭৮</t>
  </si>
  <si>
    <t>মোঃ আনিসুর রহমান</t>
  </si>
  <si>
    <t>মোছাঃ সুন্দরী খাতুন</t>
  </si>
  <si>
    <t>২০/০৫/১৯৭৯</t>
  </si>
  <si>
    <t>সবদেল মন্ডল</t>
  </si>
  <si>
    <t>মোছাঃ যবেদা খাতুন</t>
  </si>
  <si>
    <t>২৪/০৮/১৯৭২</t>
  </si>
  <si>
    <t>মোঃ জালাল উদ্দীন</t>
  </si>
  <si>
    <t>ফাতেমা খাতুন</t>
  </si>
  <si>
    <t>০৪/০৪/১৯৮৫</t>
  </si>
  <si>
    <t>মোঃ আজগার আলী</t>
  </si>
  <si>
    <t>রবগুল মন্ডল</t>
  </si>
  <si>
    <t>সুবাসী বিবি</t>
  </si>
  <si>
    <t>২০/০৬/১৯৫৭</t>
  </si>
  <si>
    <t>০৮/০৮/১৯৭৯</t>
  </si>
  <si>
    <t>মোঃ আসকার আলী</t>
  </si>
  <si>
    <t>০১/০২/১৯৭১</t>
  </si>
  <si>
    <t>মোঃ একরামুল হক</t>
  </si>
  <si>
    <t>২০/০৭/১৯৮৯</t>
  </si>
  <si>
    <t>মোঃ জমিরুল ইসলাম</t>
  </si>
  <si>
    <t>আঃ হাম্নান</t>
  </si>
  <si>
    <t>মোছাঃ বেদেনা খাতুন</t>
  </si>
  <si>
    <t>১৫/০৫/১৯৭৩</t>
  </si>
  <si>
    <t>শ্রমিক</t>
  </si>
  <si>
    <t>মোঃ আশাবুল হক</t>
  </si>
  <si>
    <t>মোঃ আঃ রহমান</t>
  </si>
  <si>
    <t>০৬/০৭/১৯৮৬</t>
  </si>
  <si>
    <t>মোঃ হাবিবুর রহমান</t>
  </si>
  <si>
    <t>মোঃ আঃ মালেক</t>
  </si>
  <si>
    <t>মোছাঃ মনজুরা খাতুন</t>
  </si>
  <si>
    <t>০৫/০৪/১৯৮১</t>
  </si>
  <si>
    <t>মোঃ নজরুল ইসলাম</t>
  </si>
  <si>
    <t>হাবিলদ্দিন</t>
  </si>
  <si>
    <t>মোছাঃ নিগারন নেছা</t>
  </si>
  <si>
    <t>১০/০৫/১৯৭২</t>
  </si>
  <si>
    <t>মোঃ তাহের আলি</t>
  </si>
  <si>
    <t>তাহাজদ্দিন</t>
  </si>
  <si>
    <t>মোছাঃ আবেদা খাতুন</t>
  </si>
  <si>
    <t>০১/০৭/১৯৫৭</t>
  </si>
  <si>
    <t>মোঃ মজিবুল ইসলাম</t>
  </si>
  <si>
    <t>মোঃ কামাল উদ্দীন</t>
  </si>
  <si>
    <t>মোঃ সোনাহার মোল্লা</t>
  </si>
  <si>
    <t>মোছাঃ খদেজা খাতুন</t>
  </si>
  <si>
    <t>১০/০৩/১৯৭০</t>
  </si>
  <si>
    <t>১০/১০/১৯৮২</t>
  </si>
  <si>
    <t>মোঃ জমশেদ আলি</t>
  </si>
  <si>
    <t>সজিরদ্দিন মন্ডল</t>
  </si>
  <si>
    <t>মোছাঃ ছদিমন নেছা</t>
  </si>
  <si>
    <t>১০/১০/১৯৪১</t>
  </si>
  <si>
    <t>মোঃ মামাল উদ্দীন</t>
  </si>
  <si>
    <t>১২/০৩/১৯৬৫</t>
  </si>
  <si>
    <t>মোঃ মোকালেছুর রহমান</t>
  </si>
  <si>
    <t>মোছাঃ রিজিয়া খাতুন</t>
  </si>
  <si>
    <t>২০/০৫/১৯৮২</t>
  </si>
  <si>
    <t>মোঃ মক্কেল আলী</t>
  </si>
  <si>
    <t>১২/১০/১৯৮৩</t>
  </si>
  <si>
    <t>ফজর মোল্লা</t>
  </si>
  <si>
    <t>মোছাঃ ফতেজান</t>
  </si>
  <si>
    <t>০৩/০৩/১৯৫৫</t>
  </si>
  <si>
    <t>০৭/০৭/১৯৮৭</t>
  </si>
  <si>
    <t>মোঃ উজ্জ্বল হোসেন</t>
  </si>
  <si>
    <t>মোঃ রুহুল আমীন</t>
  </si>
  <si>
    <t>মোছাঃ জাহাল্লারা</t>
  </si>
  <si>
    <t>০৩/১০/১৯৮৭</t>
  </si>
  <si>
    <t>মোঃ আজিজার মন্ডল</t>
  </si>
  <si>
    <t>ফরমান আলি</t>
  </si>
  <si>
    <t>মোছাঃ খাতেজান নেছা</t>
  </si>
  <si>
    <t>০৫/০৫/১৯২৭</t>
  </si>
  <si>
    <t>মোঃ ছানোয়ার হোসেন</t>
  </si>
  <si>
    <t>মোছাঃ জহিরন নেছা</t>
  </si>
  <si>
    <t>১২/০৬/১৯৮৭</t>
  </si>
  <si>
    <t>মোঃ আজমাইল হোসেন</t>
  </si>
  <si>
    <t>০১/১১/১৯৮২</t>
  </si>
  <si>
    <t>মইনদ্দীন</t>
  </si>
  <si>
    <t>মোছাঃ জহুরা খাতুন</t>
  </si>
  <si>
    <t>০১/০৫/১৯৬৮</t>
  </si>
  <si>
    <t>মোঃ আব্দুল মালেক</t>
  </si>
  <si>
    <t>১৬/১১/১৯৫২</t>
  </si>
  <si>
    <t>মোঃ বাবুল হোসেন</t>
  </si>
  <si>
    <t>১৫/১০/১৯৮৭</t>
  </si>
  <si>
    <t>মোঃ বিল্লাল হোসেন</t>
  </si>
  <si>
    <t>মোছাঃ মমতাজ বেগম</t>
  </si>
  <si>
    <t>১৯/১০/১৯৮৮</t>
  </si>
  <si>
    <t>মোঃ আব্দুল্লাহ আল মামুন</t>
  </si>
  <si>
    <t>৩১/১২/১৯৮৬</t>
  </si>
  <si>
    <t>মোঃ আমিনুল হক</t>
  </si>
  <si>
    <t>মোঃ আবুল হোসেন</t>
  </si>
  <si>
    <t>১৯/১১/১৯৬৫</t>
  </si>
  <si>
    <t>মোঃ বাবলু আলী</t>
  </si>
  <si>
    <t>মোঃ আনছার মুনশী</t>
  </si>
  <si>
    <t>মোছাঃ ভানুয়ারা খাতুন</t>
  </si>
  <si>
    <t>২২/১০/১৯৮৪</t>
  </si>
  <si>
    <t>মোঃ আনছার আলী</t>
  </si>
  <si>
    <t>আজাহার মুনশি</t>
  </si>
  <si>
    <t>রাহাতন নেছা</t>
  </si>
  <si>
    <t>১৫/০২/১৯৪৭</t>
  </si>
  <si>
    <t>মোঃ ফরিদ আলী</t>
  </si>
  <si>
    <t>মোঃ আবু বক্কর</t>
  </si>
  <si>
    <t>মোছাঃ জবেদা খাতুন</t>
  </si>
  <si>
    <t>১৪/১০/১৯৭৭</t>
  </si>
  <si>
    <t>মাইগ্রেড হয়েছে</t>
  </si>
  <si>
    <t>মোঃ শরিফুল ইসলাম</t>
  </si>
  <si>
    <t>জব্বার মৃধা</t>
  </si>
  <si>
    <t>রমেলা খাতুন</t>
  </si>
  <si>
    <t>১৫/০৭/১৯৬৯</t>
  </si>
  <si>
    <t>রুস্তম মন্ডল</t>
  </si>
  <si>
    <t>মোছাঃ মনোয়ারা খাতুন</t>
  </si>
  <si>
    <t>১৬/০৫/১৯৭৭</t>
  </si>
  <si>
    <t>আকবর আলী</t>
  </si>
  <si>
    <t>রায়মন নেছা</t>
  </si>
  <si>
    <t>১০/০৬/১৯৭৩</t>
  </si>
  <si>
    <t>মোঃ নুর ইসলাম</t>
  </si>
  <si>
    <t>ইয়াকুব আলী</t>
  </si>
  <si>
    <t>খাতেজান নেছা</t>
  </si>
  <si>
    <t>২৫/০৩/১৯৬১</t>
  </si>
  <si>
    <t>মোঃ আমজাদ হোসেন</t>
  </si>
  <si>
    <t>১৮/০৪/১৯৫২</t>
  </si>
  <si>
    <t>১১/০৬/১৯৬৭</t>
  </si>
  <si>
    <t>মোঃ আব্দুল আজিজ</t>
  </si>
  <si>
    <t>ছানোয়ারা খাতুন</t>
  </si>
  <si>
    <t>১২/০৫/১৯৬১</t>
  </si>
  <si>
    <t>মোঃ হায়দার আলী</t>
  </si>
  <si>
    <t>হারান মন্ডল</t>
  </si>
  <si>
    <t>আজিরন নেছা</t>
  </si>
  <si>
    <t>০১/০৫/১৯৫৪</t>
  </si>
  <si>
    <t>১৭/০৩/১৯৬৯</t>
  </si>
  <si>
    <t>মোঃ আলী হোসেন</t>
  </si>
  <si>
    <t>১০/০৫/১৯৭৭</t>
  </si>
  <si>
    <t>মোহাঃ মোশারফ হোসেন</t>
  </si>
  <si>
    <t>১০/০৬/১৯৮০</t>
  </si>
  <si>
    <t>মোঃ ইদ্রিস আলী</t>
  </si>
  <si>
    <t>রুস্তম আলী</t>
  </si>
  <si>
    <t>মোছাঃ মনোয়ারা</t>
  </si>
  <si>
    <t>১০/১১/১৯৭৫</t>
  </si>
  <si>
    <t>মোঃ ডাবলু ইসলাম</t>
  </si>
  <si>
    <t>মোঃ আনছার মুনশি</t>
  </si>
  <si>
    <t>১২/০৪/১৯৮৮</t>
  </si>
  <si>
    <t>মোঃ আবু আল বাশার</t>
  </si>
  <si>
    <t>মোঃ ইউনুছ আলী</t>
  </si>
  <si>
    <t>মোছাঃ হোসনেয়ারা বেগম</t>
  </si>
  <si>
    <t>২৫/১১/১৯৮৪</t>
  </si>
  <si>
    <t>মোহাঃ লিখন</t>
  </si>
  <si>
    <t>মোছাঃ ছাহারন নেছা</t>
  </si>
  <si>
    <t>০৬/০৮/১৯৮৭</t>
  </si>
  <si>
    <t>জালশুকা উত্তরপাড়া, গাংনী, মেহেরপুর</t>
  </si>
  <si>
    <t>মোঃ ছাবের আলী</t>
  </si>
  <si>
    <t>আজাহার প্রামানিক</t>
  </si>
  <si>
    <t>রিখল</t>
  </si>
  <si>
    <t>০৯/০৪/১৯৬৫</t>
  </si>
  <si>
    <t>মোঃ মখলেছুর রহমান</t>
  </si>
  <si>
    <t>মোঃ আহাদ আলী</t>
  </si>
  <si>
    <t>মোছাঃ জোহরা খাতুন</t>
  </si>
  <si>
    <t>০১/০১/১৯৮৬</t>
  </si>
  <si>
    <t>মোঃ কালু বিশ্বাস</t>
  </si>
  <si>
    <t>মোঃ সোনাহার মন্ডল</t>
  </si>
  <si>
    <t>মোছাঃ খাদিজা খাতুন</t>
  </si>
  <si>
    <t>০৮/০৭/১৯৮২</t>
  </si>
  <si>
    <t>নুর ইসলাম</t>
  </si>
  <si>
    <t>মোছাঃ রোকেয়া খাতুন</t>
  </si>
  <si>
    <t>০৪/০২/১৯৭৯</t>
  </si>
  <si>
    <t>মোঃ হোসেন আলী</t>
  </si>
  <si>
    <t>মোঃ আকবার আলী</t>
  </si>
  <si>
    <t>মোছাঃ মোনরা খাতুন</t>
  </si>
  <si>
    <t>২০/০৭/১৯৬৭</t>
  </si>
  <si>
    <t>জালশুকা উত্তর পাড়া, গাংনী, মেহেরপুর</t>
  </si>
  <si>
    <t>মোঃ রফিকুল ইসলাম</t>
  </si>
  <si>
    <t>মোঃ আঃ আজিজ</t>
  </si>
  <si>
    <t>০৩/০৪/১৯৬৫</t>
  </si>
  <si>
    <t>কিপাতুল্লাহ</t>
  </si>
  <si>
    <t>জহিরন</t>
  </si>
  <si>
    <t>০৫/১০/১৯৪৭</t>
  </si>
  <si>
    <t>মোঃ বিপুল হোসেন</t>
  </si>
  <si>
    <t>মোছাঃ সফুরা খাতুন</t>
  </si>
  <si>
    <t>২৫/০৮/১৯৮৫</t>
  </si>
  <si>
    <t>মোহাঃ আব্দুর রহিম</t>
  </si>
  <si>
    <t>মোহাঃ ছলেমান মন্ডল</t>
  </si>
  <si>
    <t>মোছাঃ রাহিমা</t>
  </si>
  <si>
    <t>২০/০৮/১৯৭৯</t>
  </si>
  <si>
    <t>১৫/০৫/১৯৮৭</t>
  </si>
  <si>
    <t>"জালশুকা উত্তর পাড়া</t>
  </si>
  <si>
    <t xml:space="preserve"> গাংনী</t>
  </si>
  <si>
    <t xml:space="preserve"> মেহেরপুর"</t>
  </si>
  <si>
    <t>মোঃ সুলতান</t>
  </si>
  <si>
    <t>তৈজদ্দিন</t>
  </si>
  <si>
    <t>ছালেহা</t>
  </si>
  <si>
    <t>২২/০৫/১৯৫৭</t>
  </si>
  <si>
    <t>মোঃ বিল্টু আলী</t>
  </si>
  <si>
    <t>মোঃ আব্দুল জলিল</t>
  </si>
  <si>
    <t>মোছাঃ রেজিয়া খাতুন</t>
  </si>
  <si>
    <t>০৩/০৪/১৯৬৯</t>
  </si>
  <si>
    <t>"জালশুকা</t>
  </si>
  <si>
    <t>মোঃ সেলিম রেজা</t>
  </si>
  <si>
    <t>মোছাঃ জাহানারা খাতুন</t>
  </si>
  <si>
    <t>০৬/০৭/১৯৮২</t>
  </si>
  <si>
    <t>মোঃ রমছদ্দীন মন্ডল</t>
  </si>
  <si>
    <t>মালেকা খাতুন</t>
  </si>
  <si>
    <t>০৩/০৪/১৯৭৫</t>
  </si>
  <si>
    <t>০২/০৩/১৯৬৭</t>
  </si>
  <si>
    <t>মোঃ তরিকুল ইসলাম</t>
  </si>
  <si>
    <t>মোঃ আব্দুল আজিজ মুন্সী</t>
  </si>
  <si>
    <t>হানোয়ারা খাতুন</t>
  </si>
  <si>
    <t>২১/০৬/১৯৭২</t>
  </si>
  <si>
    <t>মোঃ লুৎফর রহমান</t>
  </si>
  <si>
    <t>০২/০৩/১৯৭৫</t>
  </si>
  <si>
    <t>অন্যান্য</t>
  </si>
  <si>
    <t>মোঃ বদিরুজ্জামান</t>
  </si>
  <si>
    <t>মোঃ বজলুল হক</t>
  </si>
  <si>
    <t>মোঃ ঠান্ডু</t>
  </si>
  <si>
    <t>মোহাঃ মজিবর রহমান</t>
  </si>
  <si>
    <t>মোছাঃ ময়না</t>
  </si>
  <si>
    <t>১৪/১০/১৯৬১</t>
  </si>
  <si>
    <t>মোঃ আনারুল হক</t>
  </si>
  <si>
    <t>মোঃ মনিরুদ্দীন</t>
  </si>
  <si>
    <t>মোছাঃ রোকিয়া খাতুন</t>
  </si>
  <si>
    <t>২০/১০/১৯৭৫</t>
  </si>
  <si>
    <t>মোঃ আলামিন হোসেন</t>
  </si>
  <si>
    <t>মোঃ রতন মন্ডল</t>
  </si>
  <si>
    <t>মোছাঃ তরিছন নেছা</t>
  </si>
  <si>
    <t>২২/০৫/১৯৭০</t>
  </si>
  <si>
    <t>মোঃ শাজান আলী</t>
  </si>
  <si>
    <t>মোছাঃ রাশেদা খাতুন</t>
  </si>
  <si>
    <t>০১/১২/১৯৮০</t>
  </si>
  <si>
    <t>মোঃ মেহের আলী</t>
  </si>
  <si>
    <t>মোঃ দবীর উদ্দীন মালিথা</t>
  </si>
  <si>
    <t>মোছাঃ জরিমন্ নেছা</t>
  </si>
  <si>
    <t>০১/০১/১৯৭১</t>
  </si>
  <si>
    <t>মোঃ আঃ ওহাব</t>
  </si>
  <si>
    <t>রহমান মন্ডল</t>
  </si>
  <si>
    <t>আমেনা খাতুন</t>
  </si>
  <si>
    <t>২৭/০৪/১৯৫৭</t>
  </si>
  <si>
    <t>মোঃ মঙ্গল মালিথা</t>
  </si>
  <si>
    <t>০১/০১/১৯৯০</t>
  </si>
  <si>
    <t>মোঃ ইউছুফ আলী</t>
  </si>
  <si>
    <t>রবগুল শেখ</t>
  </si>
  <si>
    <t>খবিরন নেছা</t>
  </si>
  <si>
    <t>০১/০৪/১৯৫৭</t>
  </si>
  <si>
    <t>মোঃ জামাল হোসেন</t>
  </si>
  <si>
    <t>রেজাউল</t>
  </si>
  <si>
    <t>আম্বরা খাতুন</t>
  </si>
  <si>
    <t>০১/০১/১৯৫৫</t>
  </si>
  <si>
    <t xml:space="preserve"> কসবা</t>
  </si>
  <si>
    <t>মোঃ চাঁনদালী</t>
  </si>
  <si>
    <t>মোঃ হাশেম আলী</t>
  </si>
  <si>
    <t>মোছাঃ ছানুয়ারা</t>
  </si>
  <si>
    <t>০৫/০৭/১৯৭৯</t>
  </si>
  <si>
    <t>নুরজাহান খাতুন</t>
  </si>
  <si>
    <t>১০/১০/১৯৮১</t>
  </si>
  <si>
    <t>মোঃ লিটন আলী</t>
  </si>
  <si>
    <t>মোছাঃ ছানুয়ারা খাতুন</t>
  </si>
  <si>
    <t>০৭/০৬/১৯৮২</t>
  </si>
  <si>
    <t>মোঃ মজনুর রহমান</t>
  </si>
  <si>
    <t>কমভানু</t>
  </si>
  <si>
    <t>১২/১১/১৯৬২</t>
  </si>
  <si>
    <t>মাইগ্রেট হয়েছে</t>
  </si>
  <si>
    <t>মোঃ হারুন মন্ডল</t>
  </si>
  <si>
    <t>মোছাঃ সরবজান</t>
  </si>
  <si>
    <t>২০/০৯/১৯৬৯</t>
  </si>
  <si>
    <t>মোঃ মমিন</t>
  </si>
  <si>
    <t>জাদু আলী</t>
  </si>
  <si>
    <t>জেলেপন খাতুন</t>
  </si>
  <si>
    <t>০৯/০৯/১৯৭২</t>
  </si>
  <si>
    <t>মাইগ্রেশন হয়েছে</t>
  </si>
  <si>
    <t>মোঃ আব্দুল</t>
  </si>
  <si>
    <t>মোছাঃ মজিরন</t>
  </si>
  <si>
    <t>মোঃ রহিদুল ইসলাম</t>
  </si>
  <si>
    <t>মোঃ ছলেমান মন্ডল</t>
  </si>
  <si>
    <t>৩০/০৯/১৯৮০</t>
  </si>
  <si>
    <t>মোঃ মতিয়ার রহমান</t>
  </si>
  <si>
    <t>আনুয়ারা খাতুন</t>
  </si>
  <si>
    <t>০৮/০৯/১৯৭৯</t>
  </si>
  <si>
    <t>মোঃ মজিদ</t>
  </si>
  <si>
    <t>মোছাঃ সাহার বানু</t>
  </si>
  <si>
    <t>০৫/০২/১৯৮০</t>
  </si>
  <si>
    <t>মোঃ আবুহুদ্দীন মন্ডল</t>
  </si>
  <si>
    <t>নবিছুদ্দীন মন্ডল</t>
  </si>
  <si>
    <t>৩০/০৭/১৯৫২</t>
  </si>
  <si>
    <t>মোঃ আলম</t>
  </si>
  <si>
    <t>মোছাঃ কুলছন নেছা</t>
  </si>
  <si>
    <t>০৩/০৫/১৯৭৮</t>
  </si>
  <si>
    <t>মোঃ আলমাছ</t>
  </si>
  <si>
    <t>মোছাঃ জামেনা খাতুন</t>
  </si>
  <si>
    <t>১০/১০/১৯৬৭</t>
  </si>
  <si>
    <t>মোঃ শামসুল হক</t>
  </si>
  <si>
    <t>মোঃ আমীর মন্ডল</t>
  </si>
  <si>
    <t>মোছাঃ জামিরন খাতুন</t>
  </si>
  <si>
    <t>২০/০৫/১৯৫২</t>
  </si>
  <si>
    <t>মোঃ মন্টু আলী</t>
  </si>
  <si>
    <t>আঃ আজিজ</t>
  </si>
  <si>
    <t>মাহিরন নেছা</t>
  </si>
  <si>
    <t>০১/০১/১৯৬৪</t>
  </si>
  <si>
    <t>মোঃ খোকন</t>
  </si>
  <si>
    <t>মোঃ আসান আলী</t>
  </si>
  <si>
    <t>মোছাঃ মর্জিনা খাতুন</t>
  </si>
  <si>
    <t>০৭/০৬/১৯৮৩</t>
  </si>
  <si>
    <t>মোঃ সোনাহার</t>
  </si>
  <si>
    <t>মোঃ শুকুর আলী</t>
  </si>
  <si>
    <t>মোছাঃ হালিমা খাতুন</t>
  </si>
  <si>
    <t>মোঃ আমিরুল ইসলাম</t>
  </si>
  <si>
    <t>ইসমাইল হোসেন</t>
  </si>
  <si>
    <t>মোছাঃ ফুলজান খাতুন</t>
  </si>
  <si>
    <t>মোঃ মহিবুল</t>
  </si>
  <si>
    <t>নবিছদ্দীন</t>
  </si>
  <si>
    <t>২৩/০৮/১৯৬৯</t>
  </si>
  <si>
    <t>মোঃ লাল্টু</t>
  </si>
  <si>
    <t>মোঃ সেলিম হোসেন</t>
  </si>
  <si>
    <t>মোঃ বশিরুদ্দীন</t>
  </si>
  <si>
    <t>মোছাঃ আকলিমা</t>
  </si>
  <si>
    <t>০৫/০৮/১৯৭৭</t>
  </si>
  <si>
    <t>মোঃ নাজমুল ইসলাম</t>
  </si>
  <si>
    <t>১৪/০২/১৯৮৭</t>
  </si>
  <si>
    <t>"জালশুকা মসজিদ পাড়া</t>
  </si>
  <si>
    <t>মোঃ খায়রুল ইসলাম</t>
  </si>
  <si>
    <t>০৫/০৯/১৯৭৭</t>
  </si>
  <si>
    <t>১৮/০৬/১৯৭২</t>
  </si>
  <si>
    <t>মোঃ আবুছুদ্দীন</t>
  </si>
  <si>
    <t>মোঃ আসান বিশ্বাস</t>
  </si>
  <si>
    <t>আজিরন খাতুন</t>
  </si>
  <si>
    <t>১৩/০৫/১৯৭৫</t>
  </si>
  <si>
    <t>মোঃ কুদ্দুস আলী</t>
  </si>
  <si>
    <t>জাহা বকস</t>
  </si>
  <si>
    <t>২৪/১২/১৯৭২</t>
  </si>
  <si>
    <t>মোঃ ইমদাদুল</t>
  </si>
  <si>
    <t>মোঃ আকবর আলী</t>
  </si>
  <si>
    <t>১০/০৮/১৯৭৯</t>
  </si>
  <si>
    <t>মোঃ হাসান আলী</t>
  </si>
  <si>
    <t>মোঃ ইউসুফ আলী</t>
  </si>
  <si>
    <t>২০/০৪/১৯৮১</t>
  </si>
  <si>
    <t>নবীছদ্দীন</t>
  </si>
  <si>
    <t>০৫/০২/১৯৭০</t>
  </si>
  <si>
    <t>জাহাবক্স</t>
  </si>
  <si>
    <t>মোছাঃ আনোয়ারা খাতুন</t>
  </si>
  <si>
    <t>১৫/০৩/১৯৭২</t>
  </si>
  <si>
    <t>ছাদেক আলী</t>
  </si>
  <si>
    <t>১৭/১১/১৯৮২</t>
  </si>
  <si>
    <t>মোঃ আয়ুব আলী</t>
  </si>
  <si>
    <t>মোঃ হেলাল উদ্দীন</t>
  </si>
  <si>
    <t>মোছাঃ ঝর্না খাতুন</t>
  </si>
  <si>
    <t>০৪/০৫/১৯৮৫</t>
  </si>
  <si>
    <t>১২/০৫/১৯৮৫</t>
  </si>
  <si>
    <t>মোঃ আশাদুল ইসলাম</t>
  </si>
  <si>
    <t>মোঃ আঃ বারেক</t>
  </si>
  <si>
    <t>মোছাঃ সুফিয়া খাতুন</t>
  </si>
  <si>
    <t>১৫/১১/১৯৭৫</t>
  </si>
  <si>
    <t>ওয়াজ বক্স মালিথা</t>
  </si>
  <si>
    <t>মোছাঃ ইজারন নেছা</t>
  </si>
  <si>
    <t>১০/০২/১৯৬১</t>
  </si>
  <si>
    <t>২০/০২/১৯৫৯</t>
  </si>
  <si>
    <t>মোঃ মুকুল হোসেন</t>
  </si>
  <si>
    <t>মোঃ মনসুর আলী</t>
  </si>
  <si>
    <t>মোছাঃ কহিনুর নেছা</t>
  </si>
  <si>
    <t>০৫/০৮/১৯৬৬</t>
  </si>
  <si>
    <t>মোঃ বকুল হোসেন</t>
  </si>
  <si>
    <t>মোঃ মনছুর আলী</t>
  </si>
  <si>
    <t>৩১/১২/১৯৮০</t>
  </si>
  <si>
    <t>মোঃ আশাদুল হক</t>
  </si>
  <si>
    <t>ওয়াজ বক্স</t>
  </si>
  <si>
    <t>২৫/০২/১৯৭৪</t>
  </si>
  <si>
    <t>মোঃ নাসির উদ্দীন</t>
  </si>
  <si>
    <t>০২/০২/১৯৭২</t>
  </si>
  <si>
    <t>মোঃ সাইফুল ইসলাম</t>
  </si>
  <si>
    <t>মোঃ আলামিন মালিথা</t>
  </si>
  <si>
    <t>১১/০১/১৯৮৭</t>
  </si>
  <si>
    <t>১৭/০৪/১৯৪৫</t>
  </si>
  <si>
    <t>মোঃ তোফাজ্জেল হোসেন</t>
  </si>
  <si>
    <t>উম্বাদ আলী</t>
  </si>
  <si>
    <t>মোছাঃ রবিয়া খাতুন</t>
  </si>
  <si>
    <t>০৫/০৬/১৯৬১</t>
  </si>
  <si>
    <t>মোঃ আলেকচাঁদ</t>
  </si>
  <si>
    <t>মোছাঃ মাবিয়া খাতুন</t>
  </si>
  <si>
    <t>মোঃ রতন আলী</t>
  </si>
  <si>
    <t>মোঃ বুদু আলী</t>
  </si>
  <si>
    <t>মোছাঃ সবুরন নেছা</t>
  </si>
  <si>
    <t>০৫/০৩/১৯৮৩</t>
  </si>
  <si>
    <t>মোঃ মশিউর রহমান</t>
  </si>
  <si>
    <t>মোঃ আহার উদ্দীন মন্ডল</t>
  </si>
  <si>
    <t>মোঃ হাসিবুল</t>
  </si>
  <si>
    <t>মোঃ মোছারদ্দীন মন্ডল</t>
  </si>
  <si>
    <t>মোছাঃ খবেজা খাতুন</t>
  </si>
  <si>
    <t>২৫/১০/১৯৮২</t>
  </si>
  <si>
    <t>মোঃ মোছার উদ্দীন মন্ডল</t>
  </si>
  <si>
    <t>০৯/০৯/১৯৭১</t>
  </si>
  <si>
    <t>নেপাল মন্ডল</t>
  </si>
  <si>
    <t>জবেদা খাতুন</t>
  </si>
  <si>
    <t>মোছাঃ অজিফা খাতুন</t>
  </si>
  <si>
    <t>০৫/০৩/১৯৮৪</t>
  </si>
  <si>
    <t>০২/০৩/১৯৭৩</t>
  </si>
  <si>
    <t>যাদু আলী মন্ডল</t>
  </si>
  <si>
    <t>মোছাঃ জেলেশন নেছা</t>
  </si>
  <si>
    <t>১৫/০৫/১৯৫৯</t>
  </si>
  <si>
    <t>মোঃ মানিক মন্ডল</t>
  </si>
  <si>
    <t>মোছাঃ কমেলা খাতুন</t>
  </si>
  <si>
    <t>মোঃ বরকত আলী</t>
  </si>
  <si>
    <t>ইলা বক্স</t>
  </si>
  <si>
    <t>মোছাঃ এলেপন</t>
  </si>
  <si>
    <t>০১/০১/১৯৭৯</t>
  </si>
  <si>
    <t>মোঃ কুরবান আলী</t>
  </si>
  <si>
    <t>হামিদা খাতুন</t>
  </si>
  <si>
    <t>মোঃ মিরাজুল ইসলাম</t>
  </si>
  <si>
    <t>মোঃ কাদের শেখ</t>
  </si>
  <si>
    <t>মোছাঃ জমেলা খাতুন</t>
  </si>
  <si>
    <t>০৫/০৫/১৯৭৯</t>
  </si>
  <si>
    <t>মোঃ খলিলুর রহমান</t>
  </si>
  <si>
    <t>জাদুআলী মন্ডল</t>
  </si>
  <si>
    <t>মোছাঃ জেলেখা খাতুন</t>
  </si>
  <si>
    <t>রব্বানী মন্ডল</t>
  </si>
  <si>
    <t>মোছাঃ আক্কিন নেছা</t>
  </si>
  <si>
    <t>০১/০১/১৯৪৮</t>
  </si>
  <si>
    <t>মোঃ রিপন আলী</t>
  </si>
  <si>
    <t>মোছাঃ আসমা খাতুন</t>
  </si>
  <si>
    <t>০৬/০৬/১৯৭৯</t>
  </si>
  <si>
    <t>জবেদ আলী</t>
  </si>
  <si>
    <t>শরিপান নেছা</t>
  </si>
  <si>
    <t>১০/১০/১৯৫৭</t>
  </si>
  <si>
    <t>মোঃ বিপুল</t>
  </si>
  <si>
    <t>মোঃ আসান উদ্দীন</t>
  </si>
  <si>
    <t>মোঃ সোহেল রানা</t>
  </si>
  <si>
    <t>মোঃ আবুল কাশেম</t>
  </si>
  <si>
    <t>মোঃ মজিবর রহমান</t>
  </si>
  <si>
    <t>মোছাঃ মইমনা খাতুন</t>
  </si>
  <si>
    <t>১০/০২/১৯৮৭</t>
  </si>
  <si>
    <t>মোঃ এরশাদ আলী</t>
  </si>
  <si>
    <t>মোঃ দবির উদ্দীন মালিথা</t>
  </si>
  <si>
    <t>মোছাঃ জমিনর নেছা</t>
  </si>
  <si>
    <t>মোঃ কুরমান আলি</t>
  </si>
  <si>
    <t>২৮/০৬/১৯৭৩</t>
  </si>
  <si>
    <t>মোঃ এনামুল হক</t>
  </si>
  <si>
    <t>০৮/০৫/১৯৭৯</t>
  </si>
  <si>
    <t>মোঃ হানেফ আলি</t>
  </si>
  <si>
    <t>মোছাঃ মইমানা খাতুন</t>
  </si>
  <si>
    <t>৩০/০৭/১৯৭৭</t>
  </si>
  <si>
    <t>মোঃ তমছের আলি</t>
  </si>
  <si>
    <t>মোছাঃ জামিরন</t>
  </si>
  <si>
    <t>১১/০৯/১৯৬৭</t>
  </si>
  <si>
    <t>মোঃ তমছের আলী</t>
  </si>
  <si>
    <t>মোছাঃ তাসলিমা খাতুন</t>
  </si>
  <si>
    <t>খলিলুর রহমান</t>
  </si>
  <si>
    <t>মোছাঃ তোফারন নেছা</t>
  </si>
  <si>
    <t>০২/০৩/১৯৭২</t>
  </si>
  <si>
    <t>মোঃ আঃ রাজ্জাক</t>
  </si>
  <si>
    <t>শরিফান নেছা</t>
  </si>
  <si>
    <t>২৫/১১/১৯৬২</t>
  </si>
  <si>
    <t>মোঃ তুহিন আলী</t>
  </si>
  <si>
    <t>মোছাঃ অলিয়া খাতুন</t>
  </si>
  <si>
    <t>০৫/০৭/১৯৮৪</t>
  </si>
  <si>
    <t>লুৎফর রহমান</t>
  </si>
  <si>
    <t>মোছাঃ রাবিয়া খাতুন</t>
  </si>
  <si>
    <t>১৯/০৪/১৯৫৯</t>
  </si>
  <si>
    <t>লৎফর রহমান</t>
  </si>
  <si>
    <t>রাবিয়া খাতুন</t>
  </si>
  <si>
    <t>১২/১০/১৯৪৫</t>
  </si>
  <si>
    <t>মোছাঃ রোকেয়া বেগম</t>
  </si>
  <si>
    <t>১১/০৮/১৯৮০</t>
  </si>
  <si>
    <t>মোছাঃ মছিরন নেছা</t>
  </si>
  <si>
    <t>০৪/০৭/১৯৭২</t>
  </si>
  <si>
    <t>মোঃ ঈশারুদ্দীন</t>
  </si>
  <si>
    <t>১৭/০৮/১৯৬৪</t>
  </si>
  <si>
    <t>যাদু মন্ডল</t>
  </si>
  <si>
    <t>মোছাঃ জেলেপন</t>
  </si>
  <si>
    <t>২১/০৪/১৯৭০</t>
  </si>
  <si>
    <t>মোঃ জাহাঙ্গীর আলম</t>
  </si>
  <si>
    <t>মোছাঃ আশানুর</t>
  </si>
  <si>
    <t>০৯/০৪/১৯৭৯</t>
  </si>
  <si>
    <t>মোঃ শিপলু আলী</t>
  </si>
  <si>
    <t>মোঃ তাহিরুদ্দীন</t>
  </si>
  <si>
    <t>মোছাঃ রেবেকা খাতুন</t>
  </si>
  <si>
    <t>০৮/০৫/১৯৮৮</t>
  </si>
  <si>
    <t>মোঃ মাসুদ আলী</t>
  </si>
  <si>
    <t>মোছাঃ জয়নব নেছা</t>
  </si>
  <si>
    <t>১৫/০৩/১৯৮৩</t>
  </si>
  <si>
    <t>মোঃ ছনিরদ্দীন</t>
  </si>
  <si>
    <t>ছামছুদ্দি মালিথা</t>
  </si>
  <si>
    <t>আইজান নেছা</t>
  </si>
  <si>
    <t>মোঃ আপছার আলী</t>
  </si>
  <si>
    <t>মোঃ ছনিরদ্দিন</t>
  </si>
  <si>
    <t>মোছাঃ শবজান</t>
  </si>
  <si>
    <t>২৩/০৯/১৯৬৭</t>
  </si>
  <si>
    <t>০৫/০২/১৯৭৭</t>
  </si>
  <si>
    <t>বেকার</t>
  </si>
  <si>
    <t>মোঃ মিয়াজান</t>
  </si>
  <si>
    <t>১৭/০৪/১৯৭২</t>
  </si>
  <si>
    <t>মোঃ সুজন আলী</t>
  </si>
  <si>
    <t>মোঃ মহাসিন আলী</t>
  </si>
  <si>
    <t>মোছাঃ ছামসুন্নার</t>
  </si>
  <si>
    <t>২৬/০৬/১৯৮৮</t>
  </si>
  <si>
    <t>মোঃ মহসিন আলী</t>
  </si>
  <si>
    <t>মোছাঃ ছামসুন্নাহার</t>
  </si>
  <si>
    <t>মোঃ রায়তাল হক</t>
  </si>
  <si>
    <t>মোঃ ঘেরের আলী</t>
  </si>
  <si>
    <t>মোছাঃ সোহাগী</t>
  </si>
  <si>
    <t>২০/০২/১৯৬১</t>
  </si>
  <si>
    <t>মোঃ জহের মল্লিক</t>
  </si>
  <si>
    <t>মোছাঃ ফেলা</t>
  </si>
  <si>
    <t>১৭/১০/১৯৬৯</t>
  </si>
  <si>
    <t>মোঃ আশরাফুল আলম</t>
  </si>
  <si>
    <t>০১/০১/১৯৮৪</t>
  </si>
  <si>
    <t>হামিদুর রহমান</t>
  </si>
  <si>
    <t>কায়েমালী</t>
  </si>
  <si>
    <t>মোছাঃ ছমেলা খাতুন</t>
  </si>
  <si>
    <t>২৩/০৯/১৯৬৪</t>
  </si>
  <si>
    <t>০৯/০৫/১৯৭৪</t>
  </si>
  <si>
    <t>মফেজদ্দিন</t>
  </si>
  <si>
    <t>মোছাঃ রাহেলা খাতুন</t>
  </si>
  <si>
    <t>১০/০৭/১৯৭২</t>
  </si>
  <si>
    <t>মোঃ খাইরুল ইসলাম</t>
  </si>
  <si>
    <t>০১/০৪/১৯৭০</t>
  </si>
  <si>
    <t>শওকত আলী</t>
  </si>
  <si>
    <t>মোঃ কুতুব উদ্দীন</t>
  </si>
  <si>
    <t>ছিয়ামদ্দিন</t>
  </si>
  <si>
    <t>মোছাঃ নিহারন নেছা</t>
  </si>
  <si>
    <t>০১/০৪/১৯৭১</t>
  </si>
  <si>
    <t>তৈইজদ্দিন</t>
  </si>
  <si>
    <t>মোছাঃ সালেহার</t>
  </si>
  <si>
    <t>২৯/০৬/১৯৩৭</t>
  </si>
  <si>
    <t>মোঃ জামাত আলী</t>
  </si>
  <si>
    <t>মোঃ কোরবান মোল্লা</t>
  </si>
  <si>
    <t>মোছাঃ হামিদা</t>
  </si>
  <si>
    <t>০১/০১/১৯৮০</t>
  </si>
  <si>
    <t>মোঃ শাবান আলী</t>
  </si>
  <si>
    <t>মোছাঃ ফরিদা খাতুন</t>
  </si>
  <si>
    <t>১০/০৯/১৯৭২</t>
  </si>
  <si>
    <t>মোঃ আলেক চাঁদ</t>
  </si>
  <si>
    <t>ইয়াকুব বিশ্বাস</t>
  </si>
  <si>
    <t>মোছাঃ খাতেজান</t>
  </si>
  <si>
    <t>০১/০১/১৯৬১</t>
  </si>
  <si>
    <t>মোঃ সেন্টু মিয়া</t>
  </si>
  <si>
    <t>মোঃ ছিতাপ আলী</t>
  </si>
  <si>
    <t>মোছাঃ কহিনুর</t>
  </si>
  <si>
    <t>১০/০২/১৯৮৬</t>
  </si>
  <si>
    <t>মোঃ বিশারত আলী</t>
  </si>
  <si>
    <t>মোঃ আস্তাব আলি</t>
  </si>
  <si>
    <t>মোছাঃ গুলসানারা</t>
  </si>
  <si>
    <t>মোঃ ওসমান আলী</t>
  </si>
  <si>
    <t>মোঃ উমিদ আলী</t>
  </si>
  <si>
    <t>মোছাঃ বেদানা খাতুন</t>
  </si>
  <si>
    <t>ছাবদাল বিশ্বাস</t>
  </si>
  <si>
    <t>৩০/০৪/১৯৬২</t>
  </si>
  <si>
    <t>মোঃ আব্দুস সাত্তার</t>
  </si>
  <si>
    <t>মোঃ ছমিরদ্দিন</t>
  </si>
  <si>
    <t>মোছাঃ সবজান</t>
  </si>
  <si>
    <t>৩০/০৫/১৯৭৫</t>
  </si>
  <si>
    <t>মোঃ জসিরুদ্দীন</t>
  </si>
  <si>
    <t>২৮/০৪/১৯৭৩</t>
  </si>
  <si>
    <t>আঃ খালেক</t>
  </si>
  <si>
    <t>মোছাঃ সিয়াতন</t>
  </si>
  <si>
    <t>০৪/০৯/১৯৭৫</t>
  </si>
  <si>
    <t>মোঃ আশরাফুল ইসলাম</t>
  </si>
  <si>
    <t>০৫/০১/১৯৮৪</t>
  </si>
  <si>
    <t>মোঃ আক্তার আলী</t>
  </si>
  <si>
    <t>আকবার বিশ্বাস</t>
  </si>
  <si>
    <t>১৬/১১/১৯৮০</t>
  </si>
  <si>
    <t>মোঃ নবিরুদ্দীন</t>
  </si>
  <si>
    <t>আঃ জলিল</t>
  </si>
  <si>
    <t>মোছাঃ রমেছা খাতুন</t>
  </si>
  <si>
    <t>১২/০৮/১৯৪৭</t>
  </si>
  <si>
    <t>মোঃ মিলন আলী</t>
  </si>
  <si>
    <t>মোছাঃ মর্জিনা</t>
  </si>
  <si>
    <t>১৭/১২/১৯৮৮</t>
  </si>
  <si>
    <t>খবিরুদ্দীন</t>
  </si>
  <si>
    <t>আমিনা খাতুন</t>
  </si>
  <si>
    <t>১৯/১২/১৯৫০</t>
  </si>
  <si>
    <t>"জালশুকা মসজিদপাড়া</t>
  </si>
  <si>
    <t>মোঃ জামির উদ্দীন</t>
  </si>
  <si>
    <t>কাইমালী মন্ডল</t>
  </si>
  <si>
    <t>০৯/০৭/১৯৫৭</t>
  </si>
  <si>
    <t>কাইমালী</t>
  </si>
  <si>
    <t>০৪/০৮/১৯৬৭</t>
  </si>
  <si>
    <t>মোঃ শফিরুদ্দীন</t>
  </si>
  <si>
    <t>১৭/০৯/১৯৫২</t>
  </si>
  <si>
    <t>শফিরুদ্দীন</t>
  </si>
  <si>
    <t>মোছাঃ সুবারন নেছা</t>
  </si>
  <si>
    <t>২১/০৪/১৯৩৭</t>
  </si>
  <si>
    <t>মোঃ দিদার বক্স</t>
  </si>
  <si>
    <t>মোছাঃ নজিরা খাতুন</t>
  </si>
  <si>
    <t>১৯/০৩/১৯৬২</t>
  </si>
  <si>
    <t>মোঃ আনসার মুন্সি</t>
  </si>
  <si>
    <t>মোছাঃ ভানুয়ারা</t>
  </si>
  <si>
    <t>২১/০৭/১৯৮৭</t>
  </si>
  <si>
    <t>মোঃ আলমগীর হোসেন</t>
  </si>
  <si>
    <t>মোঃ হায়াত আলী</t>
  </si>
  <si>
    <t>মোছাঃ আশান্নারা</t>
  </si>
  <si>
    <t>২৫/০৫/১৯৮৩</t>
  </si>
  <si>
    <t>সফুরা খাতুন</t>
  </si>
  <si>
    <t>১৭/১১/১৯৬৯</t>
  </si>
  <si>
    <t>মোঃ হাফিজুর রহমান</t>
  </si>
  <si>
    <t>মোঃ লুতফর রহমান</t>
  </si>
  <si>
    <t>মোছাঃ রাবিয়া বেগম</t>
  </si>
  <si>
    <t>১৮/০৭/১৯৬৯</t>
  </si>
  <si>
    <t>মোঃ বোল্টু মিয়া</t>
  </si>
  <si>
    <t>মোঃ সিতাব মন্ডল</t>
  </si>
  <si>
    <t>মোছাঃ কহিনুর বেগম</t>
  </si>
  <si>
    <t>২২/০১/১৯৮০</t>
  </si>
  <si>
    <t>মোঃ ভাষান আলী</t>
  </si>
  <si>
    <t>মোছাঃ ঈশারন নেছা</t>
  </si>
  <si>
    <t>০২/০৫/১৯৬৭</t>
  </si>
  <si>
    <t>মোঃ তাহাজদ্দিন</t>
  </si>
  <si>
    <t>০৫/০৯/১৯৬৬</t>
  </si>
  <si>
    <t>মোঃ মজিবর মন্ডল</t>
  </si>
  <si>
    <t>মফেজ উদ্দীন</t>
  </si>
  <si>
    <t>বছিরন নেছা</t>
  </si>
  <si>
    <t>০৫/০৯/১৯২৭</t>
  </si>
  <si>
    <t>মোঃ আঃ গফুর মন্ডল</t>
  </si>
  <si>
    <t>মোঃ গোলাম রসুল মন্ডল</t>
  </si>
  <si>
    <t>০৩/০৮/১৯৭২</t>
  </si>
  <si>
    <t>মোঃ বাদশা বুলবুল</t>
  </si>
  <si>
    <t>মোঃ আমিনুল ইসলাম</t>
  </si>
  <si>
    <t>মোছাঃ ছালেহা খাতুন</t>
  </si>
  <si>
    <t>১৯/০৮/১৯৮৮</t>
  </si>
  <si>
    <t>মোহাঃ আব্দুল আজিজ</t>
  </si>
  <si>
    <t>১২/১০/১৯৬৪</t>
  </si>
  <si>
    <t>মোঃ আবুল হাশেম</t>
  </si>
  <si>
    <t>মোছাঃ রোকেয়া</t>
  </si>
  <si>
    <t>১২/১০/১৯৬৬</t>
  </si>
  <si>
    <t>মোহাঃ তহিদুল</t>
  </si>
  <si>
    <t>মোহাঃ আবুল কাশেম</t>
  </si>
  <si>
    <t>মোছাঃ মুর্শিদা</t>
  </si>
  <si>
    <t>০১/০৭/১৯৮৭</t>
  </si>
  <si>
    <t>মোহাঃ জিনারুল</t>
  </si>
  <si>
    <t>মোহাঃ মোজামেল হক</t>
  </si>
  <si>
    <t>মোছাঃ আনজিরা খাতুন</t>
  </si>
  <si>
    <t>১২/১০/১৯৮২</t>
  </si>
  <si>
    <t>মোঃ আব্দুল কাদের</t>
  </si>
  <si>
    <t>মোছাঃ তিতু বিবি</t>
  </si>
  <si>
    <t>১০/০৩/১৯৬২</t>
  </si>
  <si>
    <t>মোহাঃ বাবর আলি</t>
  </si>
  <si>
    <t>আব্দুল বারি</t>
  </si>
  <si>
    <t>মোছাঃ সাহার বান</t>
  </si>
  <si>
    <t>১০/০৩/১৯৭৭</t>
  </si>
  <si>
    <t>মোঃ শরিফ উদ্দীন</t>
  </si>
  <si>
    <t>মোহাঃ আব্দুল বারি</t>
  </si>
  <si>
    <t>০৫/১১/১৯৮৭</t>
  </si>
  <si>
    <t>মোঃ আব্দুল বারী</t>
  </si>
  <si>
    <t>সিরাজ সর্দ্দার</t>
  </si>
  <si>
    <t>ফুলমতি</t>
  </si>
  <si>
    <t>০৪/০৫/১৯৫৮</t>
  </si>
  <si>
    <t>আবুবক্কর</t>
  </si>
  <si>
    <t>হালিমা</t>
  </si>
  <si>
    <t>১১/১০/১৯৬৭</t>
  </si>
  <si>
    <t>মোহাঃ আরশেদ আলি</t>
  </si>
  <si>
    <t>মোহাঃ আয়ুব আলি</t>
  </si>
  <si>
    <t>০৫/১২/১৯৮৬</t>
  </si>
  <si>
    <t>মোহাঃ এনামুল হক</t>
  </si>
  <si>
    <t>মোহাঃ ফাকের আলি</t>
  </si>
  <si>
    <t>মোছাঃ আজিরন</t>
  </si>
  <si>
    <t>০৭/০১/১৯৬৮</t>
  </si>
  <si>
    <t>মোহাঃ শফিকুল ইসলাম</t>
  </si>
  <si>
    <t>আব্দুল জলিল</t>
  </si>
  <si>
    <t>মোছাঃ তহুরা খাতুন</t>
  </si>
  <si>
    <t>০২/০৭/১৯৪৬</t>
  </si>
  <si>
    <t>মোহাঃ আনোয়ার হোসেন</t>
  </si>
  <si>
    <t>মোছাঃ ফাতেমা</t>
  </si>
  <si>
    <t>০৫/০৯/১৯৭১</t>
  </si>
  <si>
    <t>মোঃ রেজাউল</t>
  </si>
  <si>
    <t>জব্বার</t>
  </si>
  <si>
    <t>ঠান্ডা বুড়ি</t>
  </si>
  <si>
    <t>০১/০৬/১৯৭১</t>
  </si>
  <si>
    <t>মোহাঃ কোরবান আলি</t>
  </si>
  <si>
    <t>মোহাঃ সফিকুল</t>
  </si>
  <si>
    <t>মোছাঃ কমলা</t>
  </si>
  <si>
    <t>০১/০১/১৯৮৮</t>
  </si>
  <si>
    <t>মোহাঃ আজিজুল হক</t>
  </si>
  <si>
    <t>মোছাঃ হালিমা</t>
  </si>
  <si>
    <t>১২/১০/১৯৬২</t>
  </si>
  <si>
    <t>মোহাঃ আজিবার রহমান</t>
  </si>
  <si>
    <t>মোঃ আছিরুদ্দীন</t>
  </si>
  <si>
    <t>শাহিন নেছা</t>
  </si>
  <si>
    <t>০৪/১২/১৯৮৪</t>
  </si>
  <si>
    <t>মোঃ তোফাজ্জেল</t>
  </si>
  <si>
    <t>মোহাঃ আছেলদ্দিন</t>
  </si>
  <si>
    <t>মোছাঃ শাহিদুন্নেছা</t>
  </si>
  <si>
    <t>১৮/১০/১৯৭৮</t>
  </si>
  <si>
    <t>মোহাঃ আশাদুল</t>
  </si>
  <si>
    <t>ছইরুদ্দিন</t>
  </si>
  <si>
    <t>সোনাভানু</t>
  </si>
  <si>
    <t>১০/০৮/১৯৭১</t>
  </si>
  <si>
    <t>মোঃ আব্বাছ আলী</t>
  </si>
  <si>
    <t>মোহাঃ মজিবর</t>
  </si>
  <si>
    <t>মোছাঃ জোহরা</t>
  </si>
  <si>
    <t>২০/০৫/১৯৮০</t>
  </si>
  <si>
    <t>মোহাঃ শহিদুল</t>
  </si>
  <si>
    <t>মোহাঃ গোলাম রসুল</t>
  </si>
  <si>
    <t>১০/১০/১৯৮৬</t>
  </si>
  <si>
    <t>মোহাঃ নওশাদ</t>
  </si>
  <si>
    <t>মোহাঃ আবুছিদ্দিক</t>
  </si>
  <si>
    <t>১০/০২/১৯৮৪</t>
  </si>
  <si>
    <t>এলাহি মন্ডল</t>
  </si>
  <si>
    <t>জেবেদা খাতুন</t>
  </si>
  <si>
    <t>০৭/১১/১৯৭০</t>
  </si>
  <si>
    <t>মোঃ আঃ হান্নান</t>
  </si>
  <si>
    <t>উম্মাদ</t>
  </si>
  <si>
    <t>মোছাঃ তাবেলো</t>
  </si>
  <si>
    <t>২৩/০১/১৯৫৬</t>
  </si>
  <si>
    <t>মোহাঃ শামসুল হক</t>
  </si>
  <si>
    <t>জাহাবকস</t>
  </si>
  <si>
    <t>আনুরা</t>
  </si>
  <si>
    <t>১০/১০/১৯৬৬</t>
  </si>
  <si>
    <t>মোহাঃ মোজাম্মেল হক</t>
  </si>
  <si>
    <t>মোহাঃ তজিমুদ্দিন</t>
  </si>
  <si>
    <t>০১/০৩/১৯৭২</t>
  </si>
  <si>
    <t>মোহাঃ তৈয়ব আলী</t>
  </si>
  <si>
    <t>আব্দুস সাত্তার</t>
  </si>
  <si>
    <t>মোছাঃ ছপুরা</t>
  </si>
  <si>
    <t>১০/০৫/১৯৬১</t>
  </si>
  <si>
    <t>মোহাঃ সেলিম হোসেন</t>
  </si>
  <si>
    <t>মোহাঃ আব্দুল হান্নান</t>
  </si>
  <si>
    <t>মোছাঃ রেহেনা বেগম</t>
  </si>
  <si>
    <t>মোহাঃ কুদ্দুস আলি</t>
  </si>
  <si>
    <t>১০/১০/১৯৭৬</t>
  </si>
  <si>
    <t>মোহাঃ মুনছুর আলি</t>
  </si>
  <si>
    <t>১০/১০/১৯৭৮</t>
  </si>
  <si>
    <t>মোঃ আব্দুর রহিম</t>
  </si>
  <si>
    <t>০১/০৪/১৯৬৬</t>
  </si>
  <si>
    <t>মোহাঃ হেলাল উদ্দিন</t>
  </si>
  <si>
    <t>১০/১০/১৯৭৪</t>
  </si>
  <si>
    <t>মোহাঃ উমিদুল ইসলাম</t>
  </si>
  <si>
    <t>মোহাঃ আব্দুল খালেক</t>
  </si>
  <si>
    <t>জহিরুদ্দিন মন্ডল</t>
  </si>
  <si>
    <t>মোছাঃ ছামিরন</t>
  </si>
  <si>
    <t>০১/০৩/১৯৭৭</t>
  </si>
  <si>
    <t>মোহাঃ জাহাঙ্গীর আলম</t>
  </si>
  <si>
    <t>মোহাঃ আব্দুল মান্নান</t>
  </si>
  <si>
    <t>মোছাঃ আছিয়া</t>
  </si>
  <si>
    <t>১০/১০/১৯৮৪</t>
  </si>
  <si>
    <t>মোহাঃ আলম চাঁদ</t>
  </si>
  <si>
    <t>মোহাঃ সাগর আলী</t>
  </si>
  <si>
    <t>মোহাঃ আহাদ আলী</t>
  </si>
  <si>
    <t>মোছাঃ জহুরা</t>
  </si>
  <si>
    <t>০১/০১/১৯৮৯</t>
  </si>
  <si>
    <t>মোহাঃ টোকন</t>
  </si>
  <si>
    <t>মোছাঃ জোহারা বেগম</t>
  </si>
  <si>
    <t>মোহাঃ জালাল উদ্দিন</t>
  </si>
  <si>
    <t>করিম বকস</t>
  </si>
  <si>
    <t>ছাতিমন</t>
  </si>
  <si>
    <t>১০/১১/১৯৬২</t>
  </si>
  <si>
    <t>মোহাঃ মহিবুল ইসলাম</t>
  </si>
  <si>
    <t>মোহাঃ জাহা বক্স</t>
  </si>
  <si>
    <t>মোহাঃ তাজিমুদ্দিন</t>
  </si>
  <si>
    <t>মোহাঃ আলামিন</t>
  </si>
  <si>
    <t>মোহাঃ রায়হান</t>
  </si>
  <si>
    <t>মোছাঃ তাছিরন</t>
  </si>
  <si>
    <t>০১/০৬/১৯৮৬</t>
  </si>
  <si>
    <t>মোহাঃ সাহাবুল</t>
  </si>
  <si>
    <t>মোহাঃ আহাদ আলি</t>
  </si>
  <si>
    <t>১০/১০/১৯৭৩</t>
  </si>
  <si>
    <t>মোহাঃ আমিরুল ইসলাম</t>
  </si>
  <si>
    <t>আব্দুস ছাত্তার</t>
  </si>
  <si>
    <t>০১/১০/১৯৬৯</t>
  </si>
  <si>
    <t>মোহাঃ মহশিন</t>
  </si>
  <si>
    <t>মোহাঃ মোবারক</t>
  </si>
  <si>
    <t>মোছাঃ সাহারন</t>
  </si>
  <si>
    <t>১০/০৮/১৯৬১</t>
  </si>
  <si>
    <t>মোহাঃ সুবারেক</t>
  </si>
  <si>
    <t>আইনাল মন্ডল</t>
  </si>
  <si>
    <t>মোছাঃ আনুরা খাতুন</t>
  </si>
  <si>
    <t>১০/১১/১৯৫৫</t>
  </si>
  <si>
    <t>মোহাঃ আব্দুর রাজ্জাক</t>
  </si>
  <si>
    <t>মোহাঃ খেদের আলী</t>
  </si>
  <si>
    <t>০২/১০/১৯৭২</t>
  </si>
  <si>
    <t>মোহাঃ ওয়াসিম</t>
  </si>
  <si>
    <t>মোহাঃ মান্নান</t>
  </si>
  <si>
    <t>মোছাঃ আনোয়ারা</t>
  </si>
  <si>
    <t>১০/০৮/১৯৮৭</t>
  </si>
  <si>
    <t>মোহাঃ একরামুল</t>
  </si>
  <si>
    <t>মোহাঃ সোনাহার মোল্লা</t>
  </si>
  <si>
    <t>মোছাঃ খাদিজা</t>
  </si>
  <si>
    <t>১১/১১/১৯৭২</t>
  </si>
  <si>
    <t>মোহাঃ মুরাদ আলি</t>
  </si>
  <si>
    <t>রুস্তম আলি</t>
  </si>
  <si>
    <t>মোছাঃ তিতু</t>
  </si>
  <si>
    <t>১২/১০/১৯৭৩</t>
  </si>
  <si>
    <t>মোহাঃ জামাল উদ্দিন</t>
  </si>
  <si>
    <t>১১/০৫/১৯৬২</t>
  </si>
  <si>
    <t>মোহাঃ লিটন আলি</t>
  </si>
  <si>
    <t>মোহাঃ সুরাত আলি</t>
  </si>
  <si>
    <t>মোছাঃ সফুরা</t>
  </si>
  <si>
    <t>১০/১০/১৯৭৭</t>
  </si>
  <si>
    <t>মোহাঃ আব্দুল আলিম</t>
  </si>
  <si>
    <t>মোহাঃ ভুলু মুন্সি</t>
  </si>
  <si>
    <t>১০/০৫/১৯৬৫</t>
  </si>
  <si>
    <t>মজিরদ্দিন মৃধা</t>
  </si>
  <si>
    <t>১২/১০/১৯৬৭</t>
  </si>
  <si>
    <t>মোহাঃ মিনারুল</t>
  </si>
  <si>
    <t>মোহাঃ মওলা বকস</t>
  </si>
  <si>
    <t>মোছাঃ ফতেমা</t>
  </si>
  <si>
    <t>মোহাঃ মোজাম্মেল</t>
  </si>
  <si>
    <t>কিতাব আলী</t>
  </si>
  <si>
    <t>মোছাঃ আমেনা খাতুন</t>
  </si>
  <si>
    <t>মোহাঃ মোশারেফ</t>
  </si>
  <si>
    <t>মোহাঃ সুরাত আলী</t>
  </si>
  <si>
    <t>১১/০৪/১৯৮১</t>
  </si>
  <si>
    <t>মোহাঃ তরিকুল ইসলাম</t>
  </si>
  <si>
    <t>মজিরুদ্দীন মৃধা</t>
  </si>
  <si>
    <t>মোছাঃ কমলা খাতুন</t>
  </si>
  <si>
    <t>০১/০৩/১৯৮১</t>
  </si>
  <si>
    <t>মোহাঃ মন্টু</t>
  </si>
  <si>
    <t>মোহাঃ হান্নান</t>
  </si>
  <si>
    <t>মোছাঃ আনিজিরা</t>
  </si>
  <si>
    <t>মোহাঃ আব্দুর রহমান</t>
  </si>
  <si>
    <t>মজিরদ্দিন</t>
  </si>
  <si>
    <t>১০/০৩/১৯৬৩</t>
  </si>
  <si>
    <t>মোহাঃ রইছউদ্দিন</t>
  </si>
  <si>
    <t xml:space="preserve"> রবকুল</t>
  </si>
  <si>
    <t>০৪/০৪/১৯৬২</t>
  </si>
  <si>
    <t>মোহাঃ ছেলমান</t>
  </si>
  <si>
    <t>১৬/০৬/১৯৭২</t>
  </si>
  <si>
    <t>মোহাঃ আঃ মমিন</t>
  </si>
  <si>
    <t>মোহাঃ ফাকের আলী</t>
  </si>
  <si>
    <t>১২/১০/১৯৫৫</t>
  </si>
  <si>
    <t>মোঃ ইব্রাহিম</t>
  </si>
  <si>
    <t>করিম মন্ডল</t>
  </si>
  <si>
    <t>মোছাঃ সাজেদা</t>
  </si>
  <si>
    <t>১০/১১/১৯৭১</t>
  </si>
  <si>
    <t>মোহাঃ আব্দুল জুব্বার</t>
  </si>
  <si>
    <t>১০/১১/১৯৬৫</t>
  </si>
  <si>
    <t>মোহাঃ কাওছার</t>
  </si>
  <si>
    <t>মোহাঃ জব্বার</t>
  </si>
  <si>
    <t>মোছাঃ ছুরাতন</t>
  </si>
  <si>
    <t>০৭/১১/১৯৮৮</t>
  </si>
  <si>
    <t>মোহাঃ বানারুল</t>
  </si>
  <si>
    <t>হারুন</t>
  </si>
  <si>
    <t>মোছাঃ খুকিমন নেছা</t>
  </si>
  <si>
    <t>১০/১১/১৯৮২</t>
  </si>
  <si>
    <t>মোহাঃ আত্তাব আলী</t>
  </si>
  <si>
    <t>মোছাঃ গুলশানা আরা</t>
  </si>
  <si>
    <t>০১/০৫/১৯৭৭</t>
  </si>
  <si>
    <t>মোহাঃ শহিদুল ইসলাম</t>
  </si>
  <si>
    <t>আখের আলী</t>
  </si>
  <si>
    <t>০৪/১১/১৯৭০</t>
  </si>
  <si>
    <t>মোহাঃ আব্দুর রশিদ</t>
  </si>
  <si>
    <t>আবুজেল</t>
  </si>
  <si>
    <t>আসমা</t>
  </si>
  <si>
    <t>০৩/০১/১৯৬০</t>
  </si>
  <si>
    <t>মোহাঃ আবু সাঈদ</t>
  </si>
  <si>
    <t>মোছাঃ হাজেরা</t>
  </si>
  <si>
    <t>১০/১১/১৯৮৭</t>
  </si>
  <si>
    <t>মোহাঃ সাজজু মিয়া</t>
  </si>
  <si>
    <t>মোহাঃ আবু জাফর</t>
  </si>
  <si>
    <t>মোছাঃ রেহেনা</t>
  </si>
  <si>
    <t>০১/১০/১৯৮৯</t>
  </si>
  <si>
    <t>মোহাঃ রাকিব হাসান</t>
  </si>
  <si>
    <t>মোহাঃ সলিমদ্দিন</t>
  </si>
  <si>
    <t>মোছাঃ জরিনা খাতুন</t>
  </si>
  <si>
    <t>২৯/০৬/১৯৮৫</t>
  </si>
  <si>
    <t>মোঃ ইবাদত হোসেন</t>
  </si>
  <si>
    <t>মোঃ শাহাদত হোসেন</t>
  </si>
  <si>
    <t>পানছুরাতন নেছা</t>
  </si>
  <si>
    <t>২২/১১/১৯৮৩</t>
  </si>
  <si>
    <t>মোহাঃ জিল্লুর রহমান</t>
  </si>
  <si>
    <t>মোহাঃ ফজলুল হক</t>
  </si>
  <si>
    <t>মোছাঃ তহিরন নেছা</t>
  </si>
  <si>
    <t>০৯/১০/১৯৮৪</t>
  </si>
  <si>
    <t>মোঃ মজনু</t>
  </si>
  <si>
    <t>মোকতার</t>
  </si>
  <si>
    <t>মোছাঃ রাবেয়া</t>
  </si>
  <si>
    <t>১০/০৬/১৯৭৭</t>
  </si>
  <si>
    <t>মোহাঃ মোশারফ</t>
  </si>
  <si>
    <t>মোছাঃ রাবেয়া খাতুন</t>
  </si>
  <si>
    <t>১৫/০৫/১৯৮৩</t>
  </si>
  <si>
    <t>০৪/০৬/১৯৭১</t>
  </si>
  <si>
    <t>মোঃ রহিমদ্দিন</t>
  </si>
  <si>
    <t>মোহাঃ শুকুর আলী</t>
  </si>
  <si>
    <t>মোছাঃ ছামিরন নেছা</t>
  </si>
  <si>
    <t>১০/০৫/১৯৮৭</t>
  </si>
  <si>
    <t>মোঃ সামছুল</t>
  </si>
  <si>
    <t>মোঃ মোসারফ</t>
  </si>
  <si>
    <t>মোছাঃ তছলিমা</t>
  </si>
  <si>
    <t>মোহাঃ মিলন</t>
  </si>
  <si>
    <t>মোহাঃ আয়ুব আলী</t>
  </si>
  <si>
    <t>মোছাঃ মরজিনা</t>
  </si>
  <si>
    <t>মোঃ সাগর</t>
  </si>
  <si>
    <t>মোহাঃ আবু তাহের</t>
  </si>
  <si>
    <t>মোছাঃ তরিছন</t>
  </si>
  <si>
    <t>মোহাঃ মহশিন আলি</t>
  </si>
  <si>
    <t>ইয়াজদ্দিন</t>
  </si>
  <si>
    <t>রাহাতন</t>
  </si>
  <si>
    <t>১১/০১/১৯৫০</t>
  </si>
  <si>
    <t>মোহাঃ আলফাজ</t>
  </si>
  <si>
    <t>মোহাঃ আশানুর</t>
  </si>
  <si>
    <t>১২/১০/১৯৮০</t>
  </si>
  <si>
    <t>মোহাঃ আরিফুল</t>
  </si>
  <si>
    <t>১০/০৯/১৯৮৯</t>
  </si>
  <si>
    <t>মোঃ বিল্লাল</t>
  </si>
  <si>
    <t>আনিসদ্দিন</t>
  </si>
  <si>
    <t>পোশমনি</t>
  </si>
  <si>
    <t>১৮/১০/১৯৬৫</t>
  </si>
  <si>
    <t>মোহাঃ লালচাঁদ</t>
  </si>
  <si>
    <t>মোহাঃ বিল্লাল</t>
  </si>
  <si>
    <t>মোছাঃ তহমিনা</t>
  </si>
  <si>
    <t>সবদেল বিশ্বাস</t>
  </si>
  <si>
    <t>রাহেলা</t>
  </si>
  <si>
    <t>১০/০৬/১৯৬৫</t>
  </si>
  <si>
    <t>মোহাঃ আজিজার রহমান</t>
  </si>
  <si>
    <t>১২/০৯/১৯৬৭</t>
  </si>
  <si>
    <t>মোহাঃ আবু বক্কর</t>
  </si>
  <si>
    <t>মোছাঃ জবেদা</t>
  </si>
  <si>
    <t>১০/১০/১৯৭১</t>
  </si>
  <si>
    <t>মোহাঃ মহাবুল হক</t>
  </si>
  <si>
    <t>মোহাঃ খেদের বিশ্বাস</t>
  </si>
  <si>
    <t>মোহাঃ মফিজুল</t>
  </si>
  <si>
    <t>মোঃ খেদের আলী</t>
  </si>
  <si>
    <t>১০/১২/১৯৮৯</t>
  </si>
  <si>
    <t>মোহাঃ সাইফুল</t>
  </si>
  <si>
    <t>মোহাঃ শাহাদত</t>
  </si>
  <si>
    <t>মোছাঃ পানছুরাতন</t>
  </si>
  <si>
    <t>১১/১২/১৯৮১</t>
  </si>
  <si>
    <t>মোহাঃ জাহাবক্স</t>
  </si>
  <si>
    <t>১২/১০/১৯৬৯</t>
  </si>
  <si>
    <t>মোছাঃ তোহরা</t>
  </si>
  <si>
    <t>১০/০৫/১৯৭৩</t>
  </si>
  <si>
    <t>মোহাঃ হাশমোতুল্লাহ</t>
  </si>
  <si>
    <t>মোহাঃ জামান উদ্দিন</t>
  </si>
  <si>
    <t>মোহাঃ মিনারা</t>
  </si>
  <si>
    <t>১০/১২/১৯৮৮</t>
  </si>
  <si>
    <t>মোহাঃ তক্কেল</t>
  </si>
  <si>
    <t>মোঃ আবু তালেব মোল্লা</t>
  </si>
  <si>
    <t>১০/০৪/১৯৭২</t>
  </si>
  <si>
    <t>মোহাঃ হবিবর</t>
  </si>
  <si>
    <t>মোহাঃ আবুল হোসেন</t>
  </si>
  <si>
    <t>মোছাঃ শহিদা খাতুন</t>
  </si>
  <si>
    <t>১০/০৬/১৯৮৭</t>
  </si>
  <si>
    <t>ইছাহক</t>
  </si>
  <si>
    <t>২০/০৭/১৯৫৫</t>
  </si>
  <si>
    <t>মোঃ আব্দুল মান্নান</t>
  </si>
  <si>
    <t>উম্দ</t>
  </si>
  <si>
    <t>মোছাঃ হাবেলা</t>
  </si>
  <si>
    <t>১০/১১/১৯৬৩</t>
  </si>
  <si>
    <t>মোঃ হামিদুল</t>
  </si>
  <si>
    <t>মোঃ মোবারেক</t>
  </si>
  <si>
    <t>মোছাঃ ছারু খাতুন</t>
  </si>
  <si>
    <t>১৫/১০/১৯৮৫</t>
  </si>
  <si>
    <t>মোঃ সাহেবুল ইসলাম</t>
  </si>
  <si>
    <t>মোহাঃ মোবারেক</t>
  </si>
  <si>
    <t>মোছাঃ ছাহারন</t>
  </si>
  <si>
    <t>১০/০৯/১৯৬৭</t>
  </si>
  <si>
    <t>মোহাঃ আছান আলী</t>
  </si>
  <si>
    <t>১০/০৩/১৯৫২</t>
  </si>
  <si>
    <t>মোছাঃ জিরাতন নেছা</t>
  </si>
  <si>
    <t>১০/০৩/১৯৮২</t>
  </si>
  <si>
    <t>মোহাঃ তৈয়ব আলি</t>
  </si>
  <si>
    <t>ছামুদ্দিন</t>
  </si>
  <si>
    <t>১৫/০৪/১৯৫৭</t>
  </si>
  <si>
    <t>মোহাঃ আজামোল</t>
  </si>
  <si>
    <t>ইয়াকুব</t>
  </si>
  <si>
    <t>মোছাঃ খাতুন</t>
  </si>
  <si>
    <t>১২/০৫/১৯৬৯</t>
  </si>
  <si>
    <t>মোহাঃ একলাছুর রহমান</t>
  </si>
  <si>
    <t>মোহাঃ আঃ হান্নান</t>
  </si>
  <si>
    <t>মোছাঃ আনজিরা</t>
  </si>
  <si>
    <t>১২/১১/১৯৮৮</t>
  </si>
  <si>
    <t>মোহাঃ খবির উদ্দিন</t>
  </si>
  <si>
    <t>বদরদ্দিন</t>
  </si>
  <si>
    <t>মোছাঃ হাওয়া খাতুন</t>
  </si>
  <si>
    <t>মোহাঃ মুনজরুল</t>
  </si>
  <si>
    <t>১০/০৫/১৯৮৪</t>
  </si>
  <si>
    <t>মোহাঃ মুজাহক</t>
  </si>
  <si>
    <t>মোহাঃ অহিরদ্দিন</t>
  </si>
  <si>
    <t>মোছাঃ শাহিদা</t>
  </si>
  <si>
    <t>০৫/১০/১৯৭৭</t>
  </si>
  <si>
    <t>মোঃ হযরত আলী</t>
  </si>
  <si>
    <t>০৪/০৭/১৯৭৩</t>
  </si>
  <si>
    <t>মোহাঃ নুরুল ইসলাম</t>
  </si>
  <si>
    <t>মোহাঃ মাবুল হোসেন</t>
  </si>
  <si>
    <t>তিতু নেছা</t>
  </si>
  <si>
    <t>০৬/০৫/১৯৬৭</t>
  </si>
  <si>
    <t>মোহাঃ আলি হোসেন</t>
  </si>
  <si>
    <t>১১/১২/১৯৮২</t>
  </si>
  <si>
    <t>মোহাঃ তছির আলী</t>
  </si>
  <si>
    <t>ছইরদ্দিন</t>
  </si>
  <si>
    <t>০৪/০৫/১৯৮১</t>
  </si>
  <si>
    <t>মোঃ আত্তাব আলী</t>
  </si>
  <si>
    <t>০৫/০৪/১৯৫৯</t>
  </si>
  <si>
    <t>মোহাঃ আইনাল হক</t>
  </si>
  <si>
    <t>মোহাঃ দবির উদ্দিন</t>
  </si>
  <si>
    <t>মোঃ আনিচুর রহমান</t>
  </si>
  <si>
    <t>মোঃ আবুছদ্দিন</t>
  </si>
  <si>
    <t>২৩/০৩/১৯৮১</t>
  </si>
  <si>
    <t>মোঃ রিফাত আলী</t>
  </si>
  <si>
    <t>দাউদ হোসেন</t>
  </si>
  <si>
    <t>অবেজান</t>
  </si>
  <si>
    <t>১০/০৪/১৯৫২</t>
  </si>
  <si>
    <t>০৮/১০/১৯৮১</t>
  </si>
  <si>
    <t>বদর উদ্দিন</t>
  </si>
  <si>
    <t>মোছাঃ নিমেরি নেছা</t>
  </si>
  <si>
    <t>১০/০৬/১৯৫৭</t>
  </si>
  <si>
    <t>মোহাঃ হামিদুল ইসলাম</t>
  </si>
  <si>
    <t>মোঃ গোলাম রসুল</t>
  </si>
  <si>
    <t>১২/১০/১৯৭৯</t>
  </si>
  <si>
    <t>মোঃ মন্টু মিয়া</t>
  </si>
  <si>
    <t>মোঃ তফেল উদ্দীন</t>
  </si>
  <si>
    <t>মোছাঃ সোনা ভানু</t>
  </si>
  <si>
    <t>০৬/০২/১৯৮২</t>
  </si>
  <si>
    <t>জালশুকা বালিয়াপাড়া, গাংনী, মেহেরপুর</t>
  </si>
  <si>
    <t>মোঃ আসাদুল হক</t>
  </si>
  <si>
    <t>মনিরুদ্দিন</t>
  </si>
  <si>
    <t>ছমিরন নেছা</t>
  </si>
  <si>
    <t>০৮/০৪/১৯৮০</t>
  </si>
  <si>
    <t>জালশুকা বালিয়া পাড়া, গাংনী, মেহেরপুর</t>
  </si>
  <si>
    <t>মোঃ বিপ্লব হোসেন</t>
  </si>
  <si>
    <t>মোঃ আসাদুল</t>
  </si>
  <si>
    <t>মোছাঃ ছবেদা খাতুন</t>
  </si>
  <si>
    <t>নবিছদ্দিন</t>
  </si>
  <si>
    <t>মোছাঃ সকিনা খাতুন</t>
  </si>
  <si>
    <t>০৭/০৫/১৯৫২</t>
  </si>
  <si>
    <t>মোঃ আসাফুল হক</t>
  </si>
  <si>
    <t>আন্দাল মালিথা</t>
  </si>
  <si>
    <t>০৮/১০/১৯৭৯</t>
  </si>
  <si>
    <t>শাহানারা</t>
  </si>
  <si>
    <t>০১/০৫/১৯৮২</t>
  </si>
  <si>
    <t>আমারত আলী</t>
  </si>
  <si>
    <t>মোছাঃ ছইরন নেছা</t>
  </si>
  <si>
    <t>০৪/০৩/১৯৬৯</t>
  </si>
  <si>
    <t>মোঃ মিনারুল হক</t>
  </si>
  <si>
    <t>মোঃ রবকুল</t>
  </si>
  <si>
    <t>০২/০৩/১৯৮০</t>
  </si>
  <si>
    <t>মোঃ আরিফুল হক</t>
  </si>
  <si>
    <t>মোঃ বিল্টু মন্ডল</t>
  </si>
  <si>
    <t>মোছাঃ ফেরদৌসি খাতুন</t>
  </si>
  <si>
    <t>০৮/০৯/১৯৮৫</t>
  </si>
  <si>
    <t>আজিজার রহমান</t>
  </si>
  <si>
    <t>ইজারন নেছা</t>
  </si>
  <si>
    <t>০৬/০৮/১৯৫৭</t>
  </si>
  <si>
    <t>মোঃ সুবারেক হোসেন</t>
  </si>
  <si>
    <t>০৮/০৭/১৯৭৯</t>
  </si>
  <si>
    <t>মোছাঃ রহিমা বেগম</t>
  </si>
  <si>
    <t>২৫/০৭/১৯৭৯</t>
  </si>
  <si>
    <t>মোঃ মোবারক হোসেন</t>
  </si>
  <si>
    <t>মোছাঃ জাহানুর খাতুন</t>
  </si>
  <si>
    <t>২০/০৬/১৯৮১</t>
  </si>
  <si>
    <t>০৯/০৮/১৯৭৭</t>
  </si>
  <si>
    <t>০৯/১০/১৯৭৯</t>
  </si>
  <si>
    <t>মোঃ সাজেদুল ইসলাম</t>
  </si>
  <si>
    <t>মোছাঃ সহিদা খাতুন</t>
  </si>
  <si>
    <t>০৫/০৬/১৯৮৫</t>
  </si>
  <si>
    <t>বকুল</t>
  </si>
  <si>
    <t>মনিরদ্দিন</t>
  </si>
  <si>
    <t>রোকেয়া খাতুন</t>
  </si>
  <si>
    <t>মোঃ টুটুল আলী</t>
  </si>
  <si>
    <t>০৯/১০/১৯৮৫</t>
  </si>
  <si>
    <t>গোলাম রসুল</t>
  </si>
  <si>
    <t>রঙ্গা খাতুন</t>
  </si>
  <si>
    <t>০৮/১১/১৯৬৭</t>
  </si>
  <si>
    <t>মোঃ ইসরাফ আলী</t>
  </si>
  <si>
    <t>আক্কেস আলী</t>
  </si>
  <si>
    <t>মোছাঃ খোয়ারী খাতুন</t>
  </si>
  <si>
    <t>১৭/১০/১৯৭২</t>
  </si>
  <si>
    <t>মোঃ রাইতাল হোসেন</t>
  </si>
  <si>
    <t>মোঃ জয়নাল আবেদীন</t>
  </si>
  <si>
    <t>রইমন বিবি</t>
  </si>
  <si>
    <t>০৭/০৯/১৯৬৭</t>
  </si>
  <si>
    <t>মোঃ তারাচাঁদ মন্ডল</t>
  </si>
  <si>
    <t>বমেলা খাতুন</t>
  </si>
  <si>
    <t>০৭/১০/১৯৭২</t>
  </si>
  <si>
    <t>মোঃ ছুবান আলী</t>
  </si>
  <si>
    <t>আজিজার সর্দার</t>
  </si>
  <si>
    <t>১০/১২/১৯৭২</t>
  </si>
  <si>
    <t>মোঃ ঝন্টু আলী</t>
  </si>
  <si>
    <t>মোঃ তফেলদ্দিন</t>
  </si>
  <si>
    <t>মোছাঃ ভানুবিবি</t>
  </si>
  <si>
    <t>২৩/০৬/১৯৮০</t>
  </si>
  <si>
    <t>মোঃ শাহাবুদ্দীন</t>
  </si>
  <si>
    <t>মোঃ জাফর আলী</t>
  </si>
  <si>
    <t>শহিদা বেগম</t>
  </si>
  <si>
    <t>৩০/১১/১৯৮২</t>
  </si>
  <si>
    <t>মোঃ উসমান গনি</t>
  </si>
  <si>
    <t>আক্কাস আলী</t>
  </si>
  <si>
    <t>মোছাঃ খুয়ারী বেগম</t>
  </si>
  <si>
    <t>২৬/০৬/১৯৭০</t>
  </si>
  <si>
    <t>মোঃ হামিজদ্দীন</t>
  </si>
  <si>
    <t>বক্স মন্ডল</t>
  </si>
  <si>
    <t>ইজারন খাতুন</t>
  </si>
  <si>
    <t>৩০/১২/১৯৬২</t>
  </si>
  <si>
    <t>মফিজদ্দিন</t>
  </si>
  <si>
    <t>ওমিলা বেগম</t>
  </si>
  <si>
    <t>২২/০৫/১৯৬৭</t>
  </si>
  <si>
    <t>মোঃ মসলেম আলী</t>
  </si>
  <si>
    <t>২০/০৮/১৯৮০</t>
  </si>
  <si>
    <t>আহাম্মদ আলী</t>
  </si>
  <si>
    <t>কফিলদ্দিন মন্ডল</t>
  </si>
  <si>
    <t>লাল বানু</t>
  </si>
  <si>
    <t>১১/০৫/১৯৫৭</t>
  </si>
  <si>
    <t>ওমিলা খাতুন</t>
  </si>
  <si>
    <t>১০/০৫/১৯৫৭</t>
  </si>
  <si>
    <t>মোঃ ইয়াছুদ্দীন</t>
  </si>
  <si>
    <t>আহাম্মদ মন্ডল</t>
  </si>
  <si>
    <t>মোছাঃ সুরাতন নেছা</t>
  </si>
  <si>
    <t>০১/০২/১৯৬২</t>
  </si>
  <si>
    <t>ওবেদ আলী</t>
  </si>
  <si>
    <t>০৫/১১/১৯৭০</t>
  </si>
  <si>
    <t>রবকুল মন্ডল</t>
  </si>
  <si>
    <t>সুবাসী খাতুন</t>
  </si>
  <si>
    <t>০৫/০৭/১৯৫৬</t>
  </si>
  <si>
    <t>মোঃ নুরুজ্জামান</t>
  </si>
  <si>
    <t>মোঃ সিরাজ শেখ</t>
  </si>
  <si>
    <t>০৮/০৪/১৯৭২</t>
  </si>
  <si>
    <t>মোঃ জিন্নাত আলী</t>
  </si>
  <si>
    <t>মোছাঃ এলেজান বিবি</t>
  </si>
  <si>
    <t>০৮/০৫/১৯৭৫</t>
  </si>
  <si>
    <t>মোঃ নওশাদ আলী</t>
  </si>
  <si>
    <t>আহাম্ম্দ আলী</t>
  </si>
  <si>
    <t>মোছাঃ বাসিরন নেছা</t>
  </si>
  <si>
    <t>০৪/০৩/১৯৮১</t>
  </si>
  <si>
    <t>১১/১২/১৯৭৩</t>
  </si>
  <si>
    <t>আঃ রহিম</t>
  </si>
  <si>
    <t>মোছাঃ রাকিয়া খাতুন</t>
  </si>
  <si>
    <t>০৯/০২/১৯৭২</t>
  </si>
  <si>
    <t>মোঃ আবু তাহের</t>
  </si>
  <si>
    <t>আব্দুর রাজ্জাক</t>
  </si>
  <si>
    <t>আকবার মন্ডল</t>
  </si>
  <si>
    <t>মোছাঃ খুকি বিবি</t>
  </si>
  <si>
    <t>০৮/১০/১৯৬৭</t>
  </si>
  <si>
    <t>মোঃ শাহাজান আলী</t>
  </si>
  <si>
    <t>মোঃ দবিরুদ্দিন</t>
  </si>
  <si>
    <t>মোছাঃ জয়নব খাতুন</t>
  </si>
  <si>
    <t>০৯/০৩/১৯৬৫</t>
  </si>
  <si>
    <t>মোছাঃ শাহিদা বেগম</t>
  </si>
  <si>
    <t>০৮/১১/১৯৭৭</t>
  </si>
  <si>
    <t>মোঃ আক্তারুল হক</t>
  </si>
  <si>
    <t>মোঃ রবকুল মন্ডল</t>
  </si>
  <si>
    <t>মোঃ মিকাইল হোসেন</t>
  </si>
  <si>
    <t>মোঃ গঞ্জর আলী</t>
  </si>
  <si>
    <t>মোছাঃ জুলেখা খাতুন</t>
  </si>
  <si>
    <t>০৮/০৬/১৯৮৮</t>
  </si>
  <si>
    <t>মোঃ রবকুল সর্দার</t>
  </si>
  <si>
    <t>লুতফল সর্দার</t>
  </si>
  <si>
    <t>মহিরন নেছা</t>
  </si>
  <si>
    <t>০৯/০৬/১৯৩৭</t>
  </si>
  <si>
    <t>মোঃ ইসরাঈল হোসেন</t>
  </si>
  <si>
    <t>মোঃ গনজর আলী</t>
  </si>
  <si>
    <t>মোছাঃ জালেমা খাতুন</t>
  </si>
  <si>
    <t>১২/১১/১৯৮০</t>
  </si>
  <si>
    <t>জালশুকা বালিয়া পাড়া, কসবা, গাংনী, মেহেরপুর</t>
  </si>
  <si>
    <t>মোঃ আঃ রহিম</t>
  </si>
  <si>
    <t>মোছাঃ শুকিরন</t>
  </si>
  <si>
    <t>০৭/০৪/১৯৮২</t>
  </si>
  <si>
    <t>মোঃ বাদল আলী</t>
  </si>
  <si>
    <t>আকবার আলী</t>
  </si>
  <si>
    <t>রয়মন</t>
  </si>
  <si>
    <t>১১/০৮/১৯৬৭</t>
  </si>
  <si>
    <t>মোঃ কামরুল হোসেন</t>
  </si>
  <si>
    <t>মোঃ আকছেদ আলী</t>
  </si>
  <si>
    <t>মোছাঃ হাজিনা খাতুন</t>
  </si>
  <si>
    <t>২৫/০৪/১৯৭৬</t>
  </si>
  <si>
    <t>মোঃ আব্বাস আলী</t>
  </si>
  <si>
    <t>শহিদা খাতুন</t>
  </si>
  <si>
    <t>১১/০১/১৯৮৩</t>
  </si>
  <si>
    <t>মোঃ ইয়াসিন আলী</t>
  </si>
  <si>
    <t>হানিফ আলী</t>
  </si>
  <si>
    <t>মোছাঃ বানু খাতুন</t>
  </si>
  <si>
    <t>০২/০১/১৯৭৭</t>
  </si>
  <si>
    <t>মোঃ ইখলাস আলী</t>
  </si>
  <si>
    <t>মোঃ ছাদিমান</t>
  </si>
  <si>
    <t>মোছাঃ শাহানারা</t>
  </si>
  <si>
    <t>০৩/০২/১৯৮৩</t>
  </si>
  <si>
    <t>মোঃ ইব্রাহীম আলী</t>
  </si>
  <si>
    <t>শামসুদ্দীন মোল্লাহ</t>
  </si>
  <si>
    <t>মোছাঃ রুবিয়া খাতুন</t>
  </si>
  <si>
    <t>০৮/০৬/১৯৬১</t>
  </si>
  <si>
    <t>মোঃ ইদাদুল হক</t>
  </si>
  <si>
    <t>রইমন খাতুন</t>
  </si>
  <si>
    <t>০১/০১/১৯৭৪</t>
  </si>
  <si>
    <t>মোঃ রতিয়ার রহমান</t>
  </si>
  <si>
    <t>০৬/০৮/১৯৭৩</t>
  </si>
  <si>
    <t>মোঃ ইয়ার আলী</t>
  </si>
  <si>
    <t>মোঃ দেলবার হোসেন</t>
  </si>
  <si>
    <t>রইমন নেছা</t>
  </si>
  <si>
    <t>০৫/১২/১৯৭৭</t>
  </si>
  <si>
    <t>মোঃ শাহাজাহান</t>
  </si>
  <si>
    <t>আমারত মন্ডল</t>
  </si>
  <si>
    <t>মোছাঃ করিমন নেছা</t>
  </si>
  <si>
    <t>২২/১২/১৯৫৭</t>
  </si>
  <si>
    <t>মোঃ বাবুল আলী</t>
  </si>
  <si>
    <t>২২/০৭/১৯৮০</t>
  </si>
  <si>
    <t>মুজাফ মন্ডল</t>
  </si>
  <si>
    <t>২২/১২/১৯৪৮</t>
  </si>
  <si>
    <t>মোঃ মইহক আলী</t>
  </si>
  <si>
    <t>০৯/০১/১৯৭২</t>
  </si>
  <si>
    <t>মোছাঃ সুরাতন</t>
  </si>
  <si>
    <t>২২/০৪/১৯৮০</t>
  </si>
  <si>
    <t>মোঃ মজিবুল হক</t>
  </si>
  <si>
    <t>৩০/০৮/১৯৭৭</t>
  </si>
  <si>
    <t>হিলাল উদ্দীন</t>
  </si>
  <si>
    <t>মোছাঃ কহিনুর খাতুন</t>
  </si>
  <si>
    <t>১৫/০৬/১৯৮৫</t>
  </si>
  <si>
    <t>বেসরকারী চাকুরী</t>
  </si>
  <si>
    <t>মোঃ রিয়াজ উদ্দীন</t>
  </si>
  <si>
    <t>মোঃ দুখু মিয়া</t>
  </si>
  <si>
    <t>রহিমা বেগম</t>
  </si>
  <si>
    <t>মোঃ কাওছার আলী</t>
  </si>
  <si>
    <t>মোছাঃ ছাবিরন নেছা</t>
  </si>
  <si>
    <t>৩০/০১/১৯৭৩</t>
  </si>
  <si>
    <t>শওকত মলিথা</t>
  </si>
  <si>
    <t>আম্বিয়া খাতুন</t>
  </si>
  <si>
    <t>১৩/০১/১৯৮০</t>
  </si>
  <si>
    <t>আমিরুদ্দীন</t>
  </si>
  <si>
    <t>আলতাবানু</t>
  </si>
  <si>
    <t>মোঃ বাবুর আলী</t>
  </si>
  <si>
    <t>আমদ আলী</t>
  </si>
  <si>
    <t>হালিমা খাতুন</t>
  </si>
  <si>
    <t>১৭/০৯/১৯৬২</t>
  </si>
  <si>
    <t>১৯/০৭/১৯৬৯</t>
  </si>
  <si>
    <t>মোঃ আছলদ্দীন</t>
  </si>
  <si>
    <t>মফেজদ্দীন</t>
  </si>
  <si>
    <t>২১/০৩/১৯৭৭</t>
  </si>
  <si>
    <t>মোঃ সিরাজুল ইসলাম</t>
  </si>
  <si>
    <t>দুঃখি শেখ</t>
  </si>
  <si>
    <t>২২/০৯/১৯৬৮</t>
  </si>
  <si>
    <t>মোঃ সাদিমান</t>
  </si>
  <si>
    <t>২২/০৮/১৯৮৯</t>
  </si>
  <si>
    <t>০৫/০৭/১৯৬৫</t>
  </si>
  <si>
    <t>জালশুকা মসজিদ পাড়া, গাংনী, মেহেরপুর</t>
  </si>
  <si>
    <t>মোঃ আফিলদ্দিন</t>
  </si>
  <si>
    <t>০৭/০৯/১৯৭৫</t>
  </si>
  <si>
    <t>১৩/০৪/১৯৮১</t>
  </si>
  <si>
    <t>জালশুকা মসজিদ পাড়া, জালশুকা, গাংনী, মেহেরপুর</t>
  </si>
  <si>
    <t>মোঃ তক্কেল আলী</t>
  </si>
  <si>
    <t>শামসুদ্দীন মলিথা</t>
  </si>
  <si>
    <t>০৫/০৩/১৯৬২</t>
  </si>
  <si>
    <t>মোঃ আঃ সামাদ</t>
  </si>
  <si>
    <t>মোছাঃ আমিনা</t>
  </si>
  <si>
    <t>২২/০৩/১৯৭২</t>
  </si>
  <si>
    <t>জালশুকা মসজিদপাড়া, গাংনী, মেহেরপুর</t>
  </si>
  <si>
    <t>মোঃ আবুছদ্দিন মন্ডল</t>
  </si>
  <si>
    <t>৩০/০৪/১৯৫২</t>
  </si>
  <si>
    <t>২২/০৪/১৯৭৩</t>
  </si>
  <si>
    <t>মোঃ আক্তারুল</t>
  </si>
  <si>
    <t>মোঃ বানু মন্ডল</t>
  </si>
  <si>
    <t>আহাজান নেছা</t>
  </si>
  <si>
    <t>১০/০৬/১৯৭৮</t>
  </si>
  <si>
    <t>১১/০৭/১৯৬৭</t>
  </si>
  <si>
    <t>আলি বক্স</t>
  </si>
  <si>
    <t>রমেছা খাতুন</t>
  </si>
  <si>
    <t>১৭/০৪/১৯৩৫</t>
  </si>
  <si>
    <t>মোঃ আক্কাস আলী</t>
  </si>
  <si>
    <t>শামসুদ্দীন</t>
  </si>
  <si>
    <t>১৫/০৫/১৯৫২</t>
  </si>
  <si>
    <t>মোঃ ইয়ামিন হোসেন</t>
  </si>
  <si>
    <t>০৯/০৮/১৯৮২</t>
  </si>
  <si>
    <t>০৮/০৪/১৯৭৯</t>
  </si>
  <si>
    <t>মোছাঃ মহিলা খাতুন</t>
  </si>
  <si>
    <t>১০/০৫/১৯৮০</t>
  </si>
  <si>
    <t>মোঃ আরমান আলী</t>
  </si>
  <si>
    <t>মোছাঃ রমেলা খাতুন</t>
  </si>
  <si>
    <t>১৮/০৪/১৯৭১</t>
  </si>
  <si>
    <t>মোঃ আনুহুদ্দিন</t>
  </si>
  <si>
    <t>১১/০৪/১৯৭৬</t>
  </si>
  <si>
    <t>মোঃ গিয়াস উদ্দীন</t>
  </si>
  <si>
    <t>শিক্ষক</t>
  </si>
  <si>
    <t>মোঃ মমতাজ আলী</t>
  </si>
  <si>
    <t>মোঃ দুল্লপ মলিথা</t>
  </si>
  <si>
    <t>মোছাঃ ওহেদান</t>
  </si>
  <si>
    <t>০২/০৩/১৯৬২</t>
  </si>
  <si>
    <t>আঃ লতিফ</t>
  </si>
  <si>
    <t>০৫/০৩/১৯৬১</t>
  </si>
  <si>
    <t>আঃ লতিফ বিশ্বাস</t>
  </si>
  <si>
    <t>মৃত রমেলা খাতুন</t>
  </si>
  <si>
    <t>১৭/০৪/১৯৬৩</t>
  </si>
  <si>
    <t>আঃ আজিমুদ্দীন</t>
  </si>
  <si>
    <t>মোছাঃ বানুয়ারা খাতুন</t>
  </si>
  <si>
    <t>১০/০১/১৯৫৯</t>
  </si>
  <si>
    <t>০৫/০৭/১৯৭৫</t>
  </si>
  <si>
    <t>রিক্সা/ভ্যান চালক</t>
  </si>
  <si>
    <t>আঃ কুদ্দুস</t>
  </si>
  <si>
    <t>মোঃ সুবারন</t>
  </si>
  <si>
    <t>০৯/০৭/১৯৮২</t>
  </si>
  <si>
    <t>মোঃ শাহাবুল</t>
  </si>
  <si>
    <t>মোছাঃ জয়নব বিবি</t>
  </si>
  <si>
    <t>১২/০৮/১৯৭৭</t>
  </si>
  <si>
    <t>উকিল মন্ডল</t>
  </si>
  <si>
    <t>মোছাঃ হামিনা</t>
  </si>
  <si>
    <t>২৮/০৪/১৯৭৭</t>
  </si>
  <si>
    <t>মোঃ সাজদার হোসেন</t>
  </si>
  <si>
    <t>২৭/০৩/১৯৬৬</t>
  </si>
  <si>
    <t>০১/০১/১৯৮২</t>
  </si>
  <si>
    <t>মোঃ মহিবুল ইসলাম</t>
  </si>
  <si>
    <t>পিজিরুদ্দীন</t>
  </si>
  <si>
    <t>নুরজাহান</t>
  </si>
  <si>
    <t>দুদু মলিথা</t>
  </si>
  <si>
    <t>ওহেজান</t>
  </si>
  <si>
    <t>২৩/০১/১৯৬৯</t>
  </si>
  <si>
    <t>মোঃ আঃ কুদ্দুস</t>
  </si>
  <si>
    <t>জয়নাল</t>
  </si>
  <si>
    <t>মাহিরন</t>
  </si>
  <si>
    <t>১১/০১/১৯৫৯</t>
  </si>
  <si>
    <t>মোঃ দেলবার</t>
  </si>
  <si>
    <t>২৭/০৯/১৯৫৯</t>
  </si>
  <si>
    <t>মোঃ নুজির আলী</t>
  </si>
  <si>
    <t>২২/১১/১৯৬২</t>
  </si>
  <si>
    <t>০৯/০৫/১৯৮৭</t>
  </si>
  <si>
    <t>মোঃ ওমর আলী</t>
  </si>
  <si>
    <t>তালুক মন্ডল</t>
  </si>
  <si>
    <t>মোছাঃ ইংগান বেওয়া</t>
  </si>
  <si>
    <t>০৩/০৫/১৯৫২</t>
  </si>
  <si>
    <t>মোছাঃ ছারেজান নেছা</t>
  </si>
  <si>
    <t>০১/০৬/১৯৮৯</t>
  </si>
  <si>
    <t>০৮/০৩/১৯৭১</t>
  </si>
  <si>
    <t>মোঃ ছইদ্দিন</t>
  </si>
  <si>
    <t>মোছাঃ খুদিরন নেছা</t>
  </si>
  <si>
    <t>২২/০৭/১৯৮২</t>
  </si>
  <si>
    <t>মোঃ সাহিদুল ইসলাম</t>
  </si>
  <si>
    <t>মোঃ মিরাজুল হক</t>
  </si>
  <si>
    <t>০৩/০৭/১৯৭৭</t>
  </si>
  <si>
    <t>আব্দুল জব্বার</t>
  </si>
  <si>
    <t>ঠান্ডামনি</t>
  </si>
  <si>
    <t>মোঃ নাজমুল হুদা</t>
  </si>
  <si>
    <t>মোছাঃ ফিরোজা খাতুন</t>
  </si>
  <si>
    <t>২৮/০৬/১৯৮৬</t>
  </si>
  <si>
    <t>মোঃ আব্দুল মজিদ</t>
  </si>
  <si>
    <t>১৪/০২/১৯৮২</t>
  </si>
  <si>
    <t>মোঃ আমিন উল্লাহ</t>
  </si>
  <si>
    <t>মোঃ ফাকের আলী মন্ডল</t>
  </si>
  <si>
    <t>মোছাঃ আজিরন নেছা</t>
  </si>
  <si>
    <t>০১/০৩/১৯৫২</t>
  </si>
  <si>
    <t>মোঃ ঠান্ডু শেখ</t>
  </si>
  <si>
    <t>০৩/০২/১৯৮২</t>
  </si>
  <si>
    <t>মোঃ আখতারুজ্জামান</t>
  </si>
  <si>
    <t>মোছাঃ মালেকা খাতুন</t>
  </si>
  <si>
    <t>মো: রুহুল আমিন</t>
  </si>
  <si>
    <t>শাবদাল বিশ্বাস</t>
  </si>
  <si>
    <t>মোছা: রহিমা খাতুন</t>
  </si>
  <si>
    <t>১০/০৫/১৯৫০</t>
  </si>
  <si>
    <t>মো: জামিরুল ইসলাম</t>
  </si>
  <si>
    <t>মো: মোশারফ হোসেন</t>
  </si>
  <si>
    <t>মোছা: রসুল খাতুন</t>
  </si>
  <si>
    <t>০১/০১/১৯৭৬</t>
  </si>
  <si>
    <t>মো: জামাল উদ্দীন</t>
  </si>
  <si>
    <t>মো: আজিজুল হক</t>
  </si>
  <si>
    <t>মোছা: হালিমা খাতুন</t>
  </si>
  <si>
    <t>০১/০১/১৯৬৩</t>
  </si>
  <si>
    <t>মো: ঠান্ডু শেখ</t>
  </si>
  <si>
    <t>ইজ্জত আলী</t>
  </si>
  <si>
    <t>মাতা: নূরজাহান নেছা</t>
  </si>
  <si>
    <t>২০/০৪/১৯৪২</t>
  </si>
  <si>
    <t>মো: ইউসুফ আলী</t>
  </si>
  <si>
    <t>তুরাফ বিশ্বাস</t>
  </si>
  <si>
    <t>মাতা: আজিরন নেছা</t>
  </si>
  <si>
    <t>২০/০৪/১৯৩৯</t>
  </si>
  <si>
    <t>মো: মনসুরুল ইসলাম</t>
  </si>
  <si>
    <t>মো: ইউসুফ আলি</t>
  </si>
  <si>
    <t>মোছা: জাহিদা খাতুন</t>
  </si>
  <si>
    <t>০৬/১০/১৯৮৯</t>
  </si>
  <si>
    <t>মো: আনোয়ার হোসাইন</t>
  </si>
  <si>
    <t>মো: ইলিয়াছ হোসেন</t>
  </si>
  <si>
    <t>মোছা: ফাহিমা খাতুন</t>
  </si>
  <si>
    <t>০৪/১০/১৯৮৪</t>
  </si>
  <si>
    <t>মাহাতাব উদ্দীন</t>
  </si>
  <si>
    <t>মোছা: সাজেদা খাতুন</t>
  </si>
  <si>
    <t>১২/০১/১৯৬০</t>
  </si>
  <si>
    <t>মো: মাসুদুর রহমান</t>
  </si>
  <si>
    <t>মো: ইউসুফ বিশ্বাস</t>
  </si>
  <si>
    <t>মোছা: জায়েদা খাতুন</t>
  </si>
  <si>
    <t>০২/০১/১৯৭০</t>
  </si>
  <si>
    <t>মো: ইয়াছিন আলি</t>
  </si>
  <si>
    <t>০৬/০৯/১৯৬৭</t>
  </si>
  <si>
    <t>মো: মনিরুল ইসলাম</t>
  </si>
  <si>
    <t>আ: সাত্তার</t>
  </si>
  <si>
    <t>মোছা: রওশনারা</t>
  </si>
  <si>
    <t>০২/০৪/১৯৬৫</t>
  </si>
  <si>
    <t>মো: শহিদুল ইসলাম</t>
  </si>
  <si>
    <t>০৫/০৮/১৯৪৭</t>
  </si>
  <si>
    <t>মো: খলিলুর রহমান</t>
  </si>
  <si>
    <t>১৬/০৫/১৯৬২</t>
  </si>
  <si>
    <t>মো: ইসরাইল হোসেন</t>
  </si>
  <si>
    <t>২২/০৭/১৯৬৫</t>
  </si>
  <si>
    <t>মো: আমিরুল ইসলাম</t>
  </si>
  <si>
    <t>মো: জালাল উদ্দীন</t>
  </si>
  <si>
    <t>মো: ইদ্রিস আলী</t>
  </si>
  <si>
    <t>মোছা: রোকেয়া</t>
  </si>
  <si>
    <t>০৩/০১/১৯৭৪</t>
  </si>
  <si>
    <t>মো: আবু আল মামুন</t>
  </si>
  <si>
    <t>মো: ইউনুস আলী</t>
  </si>
  <si>
    <t>মোছা: হোসনেয়ারা</t>
  </si>
  <si>
    <t>২৭/০২/১৯৭৮</t>
  </si>
  <si>
    <t>মো: হায়দার আলী</t>
  </si>
  <si>
    <t>মোছা: নিগারন নেছা</t>
  </si>
  <si>
    <t>১৪/০৩/১৯৬৪</t>
  </si>
  <si>
    <t>মো: একরামুল হক</t>
  </si>
  <si>
    <t>১০/১২/১৯৭৩</t>
  </si>
  <si>
    <t>মো: ছিয়ামদ্দিন</t>
  </si>
  <si>
    <t>তাহাজউদ্দিন</t>
  </si>
  <si>
    <t>মাতা: আবেদু খাতুন</t>
  </si>
  <si>
    <t>১৩/০৯/১৯৬৫</t>
  </si>
  <si>
    <t>মো: ইসমাইল হোসেন</t>
  </si>
  <si>
    <t>মো: রফেজ উদ্দিন</t>
  </si>
  <si>
    <t>মোছা: আছিয়া খাতুন</t>
  </si>
  <si>
    <t>মো: রবিউল হক</t>
  </si>
  <si>
    <t>মো: রফেজউদ্দিন</t>
  </si>
  <si>
    <t>০৩/০৬/১৯৭০</t>
  </si>
  <si>
    <t>মো: জিয়ার</t>
  </si>
  <si>
    <t>মো: আহার উদ্দিন মন্ডল</t>
  </si>
  <si>
    <t>মোছা: জাহানারা বেগম</t>
  </si>
  <si>
    <t>মো: মুশফিকুর রহমান</t>
  </si>
  <si>
    <t>মোছা: আরজিনা বেগম</t>
  </si>
  <si>
    <t>০৮/১০/১৯৮৪</t>
  </si>
  <si>
    <t>মো: সোহাগ</t>
  </si>
  <si>
    <t>নূর ইসলাম</t>
  </si>
  <si>
    <t>মোছা: রুশিয়া খাতুন</t>
  </si>
  <si>
    <t>৩১/১০/১৯৮৫</t>
  </si>
  <si>
    <t>মো: আ: হাম্নান</t>
  </si>
  <si>
    <t>জবেদ আলী মন্ডল</t>
  </si>
  <si>
    <t>মাতা: মলেজান</t>
  </si>
  <si>
    <t>১০/০৫/১৯৫১</t>
  </si>
  <si>
    <t>মো: মিরাজুল ইসলাম</t>
  </si>
  <si>
    <t>মো: আবুবক্কর সিদ্দিক</t>
  </si>
  <si>
    <t>মোছা: হাসিনা বেগম</t>
  </si>
  <si>
    <t>মো: সোহান আলী</t>
  </si>
  <si>
    <t>পিতা: আয়ুব আলী</t>
  </si>
  <si>
    <t>মাতা: মর্জিনা খাতুন</t>
  </si>
  <si>
    <t>মো: মজিবুল হক</t>
  </si>
  <si>
    <t>মো: আঃ আজিজ</t>
  </si>
  <si>
    <t>মোছা: সাহার বানু</t>
  </si>
  <si>
    <t>মেহেদী হাসান</t>
  </si>
  <si>
    <t>শহিদুল ইসলাম</t>
  </si>
  <si>
    <t>মাতা: মেহের নিগার</t>
  </si>
  <si>
    <t>০৩/০৩/১৯৮৫</t>
  </si>
  <si>
    <t>মো: হাবিবুল বাশার</t>
  </si>
  <si>
    <t>মানিক মন্ডল</t>
  </si>
  <si>
    <t>মোছা: জোহরা বেগম</t>
  </si>
  <si>
    <t>০১/০৬/১৯৮৪</t>
  </si>
  <si>
    <t>মো: আরিফুল হক</t>
  </si>
  <si>
    <t>মো: নজির আলী</t>
  </si>
  <si>
    <t>মোছা: ফাতেমা খাতুন</t>
  </si>
  <si>
    <t>মো: হাসিবুল ইসলাম</t>
  </si>
  <si>
    <t>মো: তৈয়ব আলী</t>
  </si>
  <si>
    <t>মোছা: সাহারবানু</t>
  </si>
  <si>
    <t>০৪/০৩/১৯৮৫</t>
  </si>
  <si>
    <t>গৃহিনী</t>
  </si>
  <si>
    <t>মো: ছমিরুল ইসলাম</t>
  </si>
  <si>
    <t>মো: তনছের আলী</t>
  </si>
  <si>
    <t>মোছা: আসমানি খাতুন</t>
  </si>
  <si>
    <t>মো: আ: আলীম</t>
  </si>
  <si>
    <t>মোছা: তাছলিমা খাতুন</t>
  </si>
  <si>
    <t>মো: রিপন আলী</t>
  </si>
  <si>
    <t>মো: আসাদুল ইসলাম</t>
  </si>
  <si>
    <t>মোছা: ছবেদা খাতুন</t>
  </si>
  <si>
    <t>১০/০৬/১৯৯১</t>
  </si>
  <si>
    <t>মো: রমছদ্দিন</t>
  </si>
  <si>
    <t>মো: ছাহান আলী</t>
  </si>
  <si>
    <t>মো: আকাল উদ্দীন</t>
  </si>
  <si>
    <t>খোদা বকস্ মন্ডল</t>
  </si>
  <si>
    <t>মাতা: খুকী নেছা</t>
  </si>
  <si>
    <t>২৯/০৮/১৯৫৭</t>
  </si>
  <si>
    <t>মো: সুজন আলী</t>
  </si>
  <si>
    <t>মো: হাফিজুর রহমান</t>
  </si>
  <si>
    <t>মোছা: সাজেদা বেগম</t>
  </si>
  <si>
    <t>১০/০৩/১৯৮৯</t>
  </si>
  <si>
    <t>মো: লালচাদ হোসেন</t>
  </si>
  <si>
    <t>মো: তোফাজ্জেল হোসেন</t>
  </si>
  <si>
    <t>মোছা: মাবিয়া খাতুন</t>
  </si>
  <si>
    <t>০৩/০৫/১৯৮৩</t>
  </si>
  <si>
    <t>মো: ডাবলু আলী</t>
  </si>
  <si>
    <t>মো: আবুল হোসেন</t>
  </si>
  <si>
    <t>মোছা: মাহেরোন নেসা</t>
  </si>
  <si>
    <t>২৫/০৭/১৯৮২</t>
  </si>
  <si>
    <t>সাগর</t>
  </si>
  <si>
    <t>হেলাল উদ্দীন</t>
  </si>
  <si>
    <t>মোছা: কহিনুর খাতুন</t>
  </si>
  <si>
    <t>সাইফুল</t>
  </si>
  <si>
    <t>রবিউল</t>
  </si>
  <si>
    <t>মাতা: ফিরোজা খাতুন</t>
  </si>
  <si>
    <t>২০/০৫/১৯৮৮</t>
  </si>
  <si>
    <t>কামাল উদ্দীন</t>
  </si>
  <si>
    <t>মো: বাবুর আলী</t>
  </si>
  <si>
    <t>মোছা: ফরিদা খাতুন</t>
  </si>
  <si>
    <t>১০/০৫/১৯৯০</t>
  </si>
  <si>
    <t>মো: ফরহাদ আলী</t>
  </si>
  <si>
    <t>মাতা: জহুরা খাতুন</t>
  </si>
  <si>
    <t>০১/০৩/১৯৯০</t>
  </si>
  <si>
    <t>আমরত</t>
  </si>
  <si>
    <t>কুদ্দুস আলী</t>
  </si>
  <si>
    <t>মাতা: মনোয়ারা</t>
  </si>
  <si>
    <t>মো: রাইন আলী</t>
  </si>
  <si>
    <t>খেদের আলী</t>
  </si>
  <si>
    <t>মাতা: সোহাগী</t>
  </si>
  <si>
    <t>০৮/১২/১৯৭১</t>
  </si>
  <si>
    <t>মো: মুজাহিদ</t>
  </si>
  <si>
    <t>আলাউদ্দীন</t>
  </si>
  <si>
    <t>মাতা: আমেনা খাতুন</t>
  </si>
  <si>
    <t>মো: কালাম হোসেন</t>
  </si>
  <si>
    <t>ইদ্রিস আলী</t>
  </si>
  <si>
    <t>মাতা: রোকেয়া খাতুন</t>
  </si>
  <si>
    <t>০৩/০৮/১৯৮২</t>
  </si>
  <si>
    <t>মাইগ্রেট হয়েছে</t>
  </si>
  <si>
    <t>মো: জাকিরুল</t>
  </si>
  <si>
    <t>রইছুদ্দীন</t>
  </si>
  <si>
    <t>মাতা: সুবারন নেছা</t>
  </si>
  <si>
    <t>৩০/০৩/১৯৯১</t>
  </si>
  <si>
    <t>মো: ফারুক হোসেন</t>
  </si>
  <si>
    <t>আবুল হাসেম</t>
  </si>
  <si>
    <t>মোছা: আহরন</t>
  </si>
  <si>
    <t>০৩/০৩/১৯৯০</t>
  </si>
  <si>
    <t>বাদশা আলী</t>
  </si>
  <si>
    <t>মাতা: হাজেরা খাতুন</t>
  </si>
  <si>
    <t>মো: মাজিদুল ইসলাম</t>
  </si>
  <si>
    <t>মাতা: মাজেদা খাতুন</t>
  </si>
  <si>
    <t>০৫/০৩/১৯৮৮</t>
  </si>
  <si>
    <t>মো: লিটন রানা</t>
  </si>
  <si>
    <t>মনিরুল ইসলাম</t>
  </si>
  <si>
    <t>০২/০৬/১৯৯১</t>
  </si>
  <si>
    <t>মোহা: আক্তারুজ্জামান</t>
  </si>
  <si>
    <t>হবিবার রহমান</t>
  </si>
  <si>
    <t>১০/০৬/১৯৯০</t>
  </si>
  <si>
    <t>মো: সোহেল রানা</t>
  </si>
  <si>
    <t>আনিছুর রহমান</t>
  </si>
  <si>
    <t>মাতা: মোছা: ছালেহা</t>
  </si>
  <si>
    <t>১৩/০২/১৯৮৭</t>
  </si>
  <si>
    <t>মো: উজ্জ্বল আলী</t>
  </si>
  <si>
    <t>মাতা: জাহানারা খাতুন</t>
  </si>
  <si>
    <t>০৫/০৮/১৯৯০</t>
  </si>
  <si>
    <t>মো: ইয়াছিন আলী</t>
  </si>
  <si>
    <t>১৭/০৭/১৯৯০</t>
  </si>
  <si>
    <t>মো: আজমাঈল হক</t>
  </si>
  <si>
    <t>আ: রাজ্জাক</t>
  </si>
  <si>
    <t>মাতা: আসরা খাতুন</t>
  </si>
  <si>
    <t>০৭/০১/১৯৯১</t>
  </si>
  <si>
    <t>মো: মিজানুর রহমান</t>
  </si>
  <si>
    <t>দবির মন্ডল</t>
  </si>
  <si>
    <t>মাতা: জয়নব নেছা</t>
  </si>
  <si>
    <t>২৩/০৯/১৯৬৯</t>
  </si>
  <si>
    <t>মো: আনিচুর রহমান</t>
  </si>
  <si>
    <t>এন এস মুক্তার আলী</t>
  </si>
  <si>
    <t>মাতা: মোছা: রাবেয়া খাতুন</t>
  </si>
  <si>
    <t>০১/০৫/১৯৯০</t>
  </si>
  <si>
    <t>সাধন আলী</t>
  </si>
  <si>
    <t>খালেক</t>
  </si>
  <si>
    <t>মাতা: সুরাতন</t>
  </si>
  <si>
    <t>মোস্তফা মোহামাদ</t>
  </si>
  <si>
    <t>মো: আমজাদ হোসেন</t>
  </si>
  <si>
    <t>মাতা: মোছা: সাহেদা খাতুন</t>
  </si>
  <si>
    <t>০১/০২/১৯৯০</t>
  </si>
  <si>
    <t>মো: জসিম উদ্দীন</t>
  </si>
  <si>
    <t>মাতা: ছাহারন নেছা</t>
  </si>
  <si>
    <t>০১/০৩/১৯৮৭</t>
  </si>
  <si>
    <t>মো: দিপক আলী</t>
  </si>
  <si>
    <t>মো: আয়ুব আলী</t>
  </si>
  <si>
    <t>মাতা: মোছা: মর্জিনা খাতুন</t>
  </si>
  <si>
    <t>মো: রেজাউল করিম</t>
  </si>
  <si>
    <t>মাতা: মোছা: সুলতানা খাতুন</t>
  </si>
  <si>
    <t>২৫/০৫/১৯৯১</t>
  </si>
  <si>
    <t>মোহা: রকিবুল ইসলাম</t>
  </si>
  <si>
    <t>মো: জাহা বক্স</t>
  </si>
  <si>
    <t>মাতা: মো: আকলিমা</t>
  </si>
  <si>
    <t>২৭/০৮/১৯৯১</t>
  </si>
  <si>
    <t>মো: রানা</t>
  </si>
  <si>
    <t>মো: হানিফ আলী</t>
  </si>
  <si>
    <t>মাতা: মোছা: আয়মানা</t>
  </si>
  <si>
    <t>০১/০৬/১৯৯০</t>
  </si>
  <si>
    <t>মুকতার</t>
  </si>
  <si>
    <t>মো: রুবেল আলী</t>
  </si>
  <si>
    <t>আবেদুর রহমান</t>
  </si>
  <si>
    <t>মাতা: মোছা: গুলশানারা খাতুন</t>
  </si>
  <si>
    <t>১৮/০৫/১৯৮৯</t>
  </si>
  <si>
    <t>মো: লাল্টু মিয়া</t>
  </si>
  <si>
    <t>ওমর আলী</t>
  </si>
  <si>
    <t>মাতা: মোছা: ছারেজান নেছা</t>
  </si>
  <si>
    <t>০১/০৫/১৯৮৬</t>
  </si>
  <si>
    <t>মো: বাবুল আলি</t>
  </si>
  <si>
    <t>মো: ঈশারদ্দীন</t>
  </si>
  <si>
    <t>মাতা: মোছা: আশামুর বেগম</t>
  </si>
  <si>
    <t>৩০/১২/১৯৮৬</t>
  </si>
  <si>
    <t>মো: আশরাফুল ইসলাম</t>
  </si>
  <si>
    <t>০৩/০৫/১৯৮৪</t>
  </si>
  <si>
    <t>মো: আফেল উদ্দীন</t>
  </si>
  <si>
    <t>মাতা: মোছা: রাহেলা খাতুন</t>
  </si>
  <si>
    <t>২৪/১০/১৯৬১</t>
  </si>
  <si>
    <t>নাপিত</t>
  </si>
  <si>
    <t>মো: শুকুর আলী</t>
  </si>
  <si>
    <t>মাতা: খাদেজা খাতুন</t>
  </si>
  <si>
    <t>০১/০৩/১৯৭০</t>
  </si>
  <si>
    <t>মো: কামাল উদ্দীন</t>
  </si>
  <si>
    <t>মাতা: মোছা: আনজিরা খাতুন</t>
  </si>
  <si>
    <t>মো: রজ্জব আলী</t>
  </si>
  <si>
    <t>মো: রাজ্জাক আলী</t>
  </si>
  <si>
    <t>মাতা: মোছা: মর্জিনা</t>
  </si>
  <si>
    <t>১০/০৩/১৯৮৫</t>
  </si>
  <si>
    <t>মোহা: শান্ত আলী</t>
  </si>
  <si>
    <t>মো: আব্দুল কাদের</t>
  </si>
  <si>
    <t>মাতা: মোছা: জমেলা খাতুন</t>
  </si>
  <si>
    <t>মো: তারিকুল ইসলাম</t>
  </si>
  <si>
    <t>মো: মুকুল হোসেন</t>
  </si>
  <si>
    <t>মাতা: মোছা: শান্তিারা খাতুন</t>
  </si>
  <si>
    <t>১২/০৭/১৯৮৮</t>
  </si>
  <si>
    <t>মো: রশিদ</t>
  </si>
  <si>
    <t>মাতা: মোছা: তোফারন নেছা</t>
  </si>
  <si>
    <t>১০/০২/১৯৭৭</t>
  </si>
  <si>
    <t>মো: মহাবুল হক</t>
  </si>
  <si>
    <t>মো: মুছারদ্দিন</t>
  </si>
  <si>
    <t>মাতা: মোছা: খাদিজা খাতুন</t>
  </si>
  <si>
    <t>১৭/১১/১৯৭৫</t>
  </si>
  <si>
    <t>মো: পলান আলী</t>
  </si>
  <si>
    <t>মো: রওশন হোসেন</t>
  </si>
  <si>
    <t>মাতা: মোছা: রহিদা খাতুন</t>
  </si>
  <si>
    <t>২০/০৬/১৯৮৬</t>
  </si>
  <si>
    <t>মাতা: মোছা: পিনজিরা খাতুন</t>
  </si>
  <si>
    <t>মো: আল- ইমরান</t>
  </si>
  <si>
    <t>মাতা: মোছা: রেফেজা খাতুন</t>
  </si>
  <si>
    <t>১৮/১০/১৯৯১</t>
  </si>
  <si>
    <t>মো: কাবরুল ইসলাম</t>
  </si>
  <si>
    <t>মো: সাবের আলী</t>
  </si>
  <si>
    <t>মাতা: মোছা: আসানুর</t>
  </si>
  <si>
    <t>মো: ফজলু হক</t>
  </si>
  <si>
    <t>মাতা: মোছা: রহিমা খাতুন</t>
  </si>
  <si>
    <t>৩০/১২/১৯৭১</t>
  </si>
  <si>
    <t>মো: জিয়ারুল ইসলাম</t>
  </si>
  <si>
    <t>মো: আব্দুর রহমান</t>
  </si>
  <si>
    <t>১৫/০২/১৯৯১</t>
  </si>
  <si>
    <t>মো: বিপ্লব আলী</t>
  </si>
  <si>
    <t>মোছা: আজমেল</t>
  </si>
  <si>
    <t>মাতা: মোছা: ছানোয়ারা</t>
  </si>
  <si>
    <t>০৭/০২/১৯৯০</t>
  </si>
  <si>
    <t>মো: মোক্কেল আলী</t>
  </si>
  <si>
    <t>মো: আব্দুল আজিজ</t>
  </si>
  <si>
    <t>০৫/০৪/১৯৭৭</t>
  </si>
  <si>
    <t>মোঃ ফুরকান আলি</t>
  </si>
  <si>
    <t>০১/০৫/১৯৮৭</t>
  </si>
  <si>
    <t>মোঃ উজ্জল আলী</t>
  </si>
  <si>
    <t>আঃ মান্নান</t>
  </si>
  <si>
    <t>০১/০৫/১৯৮৯</t>
  </si>
  <si>
    <t>মোছাঃ জোসনা খাতুন</t>
  </si>
  <si>
    <t>১৮/১০/১৯৮৩</t>
  </si>
  <si>
    <t>মোঃ ইয়াদুল ইসলাম</t>
  </si>
  <si>
    <t>০৩/০২/১৯৮৭</t>
  </si>
  <si>
    <t>মোঃ কিবরিয়া</t>
  </si>
  <si>
    <t>মোছাঃ আহ্লাদী খাতুন</t>
  </si>
  <si>
    <t>০৪/০৩/১৯৮৮</t>
  </si>
  <si>
    <t>০৫/১০/১৯৮৭</t>
  </si>
  <si>
    <t>মোঃ মিল্টন আলি</t>
  </si>
  <si>
    <t>০১/০৬/১৯৮৫</t>
  </si>
  <si>
    <t>মোঃ সাদ্দাম হোসেন</t>
  </si>
  <si>
    <t>মোঃ মরজেম আলী</t>
  </si>
  <si>
    <t>মোছাঃ হানিয়াম মারিয়া</t>
  </si>
  <si>
    <t>০৫/০১/১৯৯১</t>
  </si>
  <si>
    <t>মোহাঃ নাজমুল হক</t>
  </si>
  <si>
    <t>০৭/১২/১৯৯১</t>
  </si>
  <si>
    <t>মোঃ কামরুজ্জামান</t>
  </si>
  <si>
    <t>০৫/০৩/১৯৯০</t>
  </si>
  <si>
    <t>মোঃ আকাশউজ্জামান</t>
  </si>
  <si>
    <t>মোঃ নুরল ইসলাম</t>
  </si>
  <si>
    <t>মোছাঃ আদুরী খাতুন</t>
  </si>
  <si>
    <t>০১/১০/১৯৯২</t>
  </si>
  <si>
    <t>মোঃ স্বপন আলী</t>
  </si>
  <si>
    <t>০৩/০১/১৯৯২</t>
  </si>
  <si>
    <t>সরকারী চাকুরী</t>
  </si>
  <si>
    <t>মোঃ রিয়াজুল ইসলাম</t>
  </si>
  <si>
    <t>০১/১২/১৯৯২</t>
  </si>
  <si>
    <t>মোছাঃ বাশিরন নেছা</t>
  </si>
  <si>
    <t>০৬/০৮/১৯৯২</t>
  </si>
  <si>
    <t>সলিমদ্দিন</t>
  </si>
  <si>
    <t>জরিনা খাতুন</t>
  </si>
  <si>
    <t>২০/১০/১৯৯২</t>
  </si>
  <si>
    <t>মোঃ জুলফিকার আলী</t>
  </si>
  <si>
    <t>মোঃ সামসুল হক</t>
  </si>
  <si>
    <t>০৮/০৪/১৯৯২</t>
  </si>
  <si>
    <t>মোঃ শাহিন আলম</t>
  </si>
  <si>
    <t>মোছাঃ সাহেনা খাতুন</t>
  </si>
  <si>
    <t>০৮/০২/১৯৯২</t>
  </si>
  <si>
    <t>মোছাঃ রাশিদা খাতুন</t>
  </si>
  <si>
    <t>০৮/০৩/১৯৯৩</t>
  </si>
  <si>
    <t>মোহাঃ জসিম উদ্দীন</t>
  </si>
  <si>
    <t>মোহাঃ বজলুল হক</t>
  </si>
  <si>
    <t>০৬/০৪/১৯৯৩</t>
  </si>
  <si>
    <t>মোঃ বাপ্পারাজ</t>
  </si>
  <si>
    <t>রুহুল আলী</t>
  </si>
  <si>
    <t>জাহানারা খাতুন</t>
  </si>
  <si>
    <t>২৭/১২/১৯৯৩</t>
  </si>
  <si>
    <t>মোঃ আকাল উদ্দীন</t>
  </si>
  <si>
    <t>২৫/১০/১৯৯৩</t>
  </si>
  <si>
    <t>আলমগীর</t>
  </si>
  <si>
    <t>আসাদুল</t>
  </si>
  <si>
    <t>রঙ্গীলা</t>
  </si>
  <si>
    <t>০৩/০১/১৯৯৪</t>
  </si>
  <si>
    <t>মোঃ উজ্জল ইসলাম</t>
  </si>
  <si>
    <t>মোঃ ঠান্ডু আলী</t>
  </si>
  <si>
    <t>আরজিনা খাতুন</t>
  </si>
  <si>
    <t>০৬/০৭/১৯৯৪</t>
  </si>
  <si>
    <t>মোঃ আকরাম আলী</t>
  </si>
  <si>
    <t>হায়দার আলী</t>
  </si>
  <si>
    <t>জাহেরা খাতুন</t>
  </si>
  <si>
    <t>১২/০১/১৯৯৪</t>
  </si>
  <si>
    <t>মোঃ জিয়ারুল ইসলাম</t>
  </si>
  <si>
    <t>হাসেম আলি</t>
  </si>
  <si>
    <t>০৩/০৪/১৯৯৪</t>
  </si>
  <si>
    <t>মোঃ আজমাইন হোসেন</t>
  </si>
  <si>
    <t>০৬/০৩/১৯৯৪</t>
  </si>
  <si>
    <t>মোঃ সমসের আলি</t>
  </si>
  <si>
    <t>ঝরনা খাতুন</t>
  </si>
  <si>
    <t>১৬/০১/১৯৯৪</t>
  </si>
  <si>
    <t>মোঃ আলামিন</t>
  </si>
  <si>
    <t>মোছাঃ সাহিরন খাতুন</t>
  </si>
  <si>
    <t>০৪/১২/১৯৯৪</t>
  </si>
  <si>
    <t>আবু সাঈদ</t>
  </si>
  <si>
    <t>ফাতিমা খাতুন</t>
  </si>
  <si>
    <t>১৬/১২/১৯৯৪</t>
  </si>
  <si>
    <t>৩০/১২/১৯৯৪</t>
  </si>
  <si>
    <t>মোঃ শিমুল আলী</t>
  </si>
  <si>
    <t>২৭/১২/১৯৯৪</t>
  </si>
  <si>
    <t>মোঃ ইকবাল হাসান</t>
  </si>
  <si>
    <t>মোছাঃ সারজিনা খাতুন</t>
  </si>
  <si>
    <t>২৬/১২/১৯৯৫</t>
  </si>
  <si>
    <t>মোঃ আল- মামুন</t>
  </si>
  <si>
    <t>মাবুদ আলী</t>
  </si>
  <si>
    <t>মোছাঃ চাইনা খাতুন</t>
  </si>
  <si>
    <t>০৭/০৭/১৯৯৪</t>
  </si>
  <si>
    <t>মোঃ আশিকুর রহমান</t>
  </si>
  <si>
    <t>রিফাত উদ্দীন</t>
  </si>
  <si>
    <t>জালিমন নেছা</t>
  </si>
  <si>
    <t>০৬/০৫/১৯৯৫</t>
  </si>
  <si>
    <t>মোঃ রজব আলী</t>
  </si>
  <si>
    <t>হামিদুল</t>
  </si>
  <si>
    <t>রজিনা</t>
  </si>
  <si>
    <t>১০/১১/১৯৯৫</t>
  </si>
  <si>
    <t>আহাদ মোড়</t>
  </si>
  <si>
    <t>উসমান গনি</t>
  </si>
  <si>
    <t>রমজান আলী</t>
  </si>
  <si>
    <t>সহারবানু</t>
  </si>
  <si>
    <t>১৫/০৫/১৯৯০</t>
  </si>
  <si>
    <t>উত্তরপাড়া</t>
  </si>
  <si>
    <t>টুটুল আলী</t>
  </si>
  <si>
    <t>০১/০৫/১৯৯৫</t>
  </si>
  <si>
    <t>কবিরুল</t>
  </si>
  <si>
    <t>কুদ্দুস</t>
  </si>
  <si>
    <t>আরজিরা</t>
  </si>
  <si>
    <t>০৮/০২/১৯৮৯</t>
  </si>
  <si>
    <t>ভিটাপাড়া</t>
  </si>
  <si>
    <t>মোঃ তোতা</t>
  </si>
  <si>
    <t>আনছুদ্দিন</t>
  </si>
  <si>
    <t>ফিরোজা খাতুন</t>
  </si>
  <si>
    <t>০৭/১১/১৯৮৬</t>
  </si>
  <si>
    <t>কসবা</t>
  </si>
  <si>
    <t>আঃ বারী</t>
  </si>
  <si>
    <t>আবুল হোসেন</t>
  </si>
  <si>
    <t>মোছাঃ সাহিদা খাতুন</t>
  </si>
  <si>
    <t>১৪/০৩/১৯৭৪</t>
  </si>
  <si>
    <t>মোঃ রকিবুল</t>
  </si>
  <si>
    <t>রইছ উদ্দীন</t>
  </si>
  <si>
    <t>সুবারন নেছা</t>
  </si>
  <si>
    <t>২৭/১১/১৯৮৯</t>
  </si>
  <si>
    <t>ঝন্টু আলি</t>
  </si>
  <si>
    <t>এনামুল হক</t>
  </si>
  <si>
    <t>সাজেরা খাতুন</t>
  </si>
  <si>
    <t>০১/০১/১৯৯৬</t>
  </si>
  <si>
    <t>শাহিনুজ্জামান</t>
  </si>
  <si>
    <t>বানারুল হক</t>
  </si>
  <si>
    <t>০১/০৪/১৯৯৩</t>
  </si>
  <si>
    <t>মোঃ নাজমুল</t>
  </si>
  <si>
    <t>আলতাব হোসেন</t>
  </si>
  <si>
    <t>জেসমিন খাতুন</t>
  </si>
  <si>
    <t>২৫/০৩/১৯৯০</t>
  </si>
  <si>
    <t>বালিপাড়া</t>
  </si>
  <si>
    <t>ছালাম</t>
  </si>
  <si>
    <t>রাইতাল</t>
  </si>
  <si>
    <t>০৫/০১/১৯৮৯</t>
  </si>
  <si>
    <t>মসজিদপাড়া</t>
  </si>
  <si>
    <t>মোঃ তোতা মিয়া</t>
  </si>
  <si>
    <t>মেহের নিগার</t>
  </si>
  <si>
    <t>০২/০১/১৯৯৬</t>
  </si>
  <si>
    <t>মোঃ সৃজন আলী</t>
  </si>
  <si>
    <t>মোঃ সাগর ভাষা</t>
  </si>
  <si>
    <t>মোছাঃ মলিদা খাতুন</t>
  </si>
  <si>
    <t>২০/০৬/১৯৮৯</t>
  </si>
  <si>
    <t>হাকিম</t>
  </si>
  <si>
    <t>গঞ্জের আলী</t>
  </si>
  <si>
    <t>২৭/০২/১৯৯১</t>
  </si>
  <si>
    <t>মোঃ ওবাইদুল্লাহ</t>
  </si>
  <si>
    <t>মোঃ জমসেদ আলী</t>
  </si>
  <si>
    <t>০৮/০৯/১৯৯৬</t>
  </si>
  <si>
    <t>মোঃ ওয়াসিম রেজা</t>
  </si>
  <si>
    <t>নজরুল ইসলাম</t>
  </si>
  <si>
    <t>বানিয়া খাতুন</t>
  </si>
  <si>
    <t>০১/১১/১৯৯৬</t>
  </si>
  <si>
    <t>মোঃ সুজন আলি</t>
  </si>
  <si>
    <t>ইসলাম আলী</t>
  </si>
  <si>
    <t>২১/০১/১৯৯৭</t>
  </si>
  <si>
    <t>ভিটা পাড়া</t>
  </si>
  <si>
    <t>মোঃ জুলফিকুর আলি</t>
  </si>
  <si>
    <t>ইয়াসিন আলি</t>
  </si>
  <si>
    <t>জুলেখা খাতুন</t>
  </si>
  <si>
    <t>০৪/০১/১৯৯৭</t>
  </si>
  <si>
    <t>জালশুকা বালিয়া পাড়া</t>
  </si>
  <si>
    <t>মোঃ মনোয়ার হোসেন</t>
  </si>
  <si>
    <t>মোঃ আঃ মজিদ</t>
  </si>
  <si>
    <t>২৮/১১/১৯৯৭</t>
  </si>
  <si>
    <t>জালশুকা দাড়িয়া পাড়া</t>
  </si>
  <si>
    <t>সৃজন আলী</t>
  </si>
  <si>
    <t>মোঃ ইকারুদ্দীন</t>
  </si>
  <si>
    <t>সুলতানা খাতুন</t>
  </si>
  <si>
    <t>১৮/১১/১৯৯০</t>
  </si>
  <si>
    <t>মোল্লা পাড়া</t>
  </si>
  <si>
    <t>নাজিম</t>
  </si>
  <si>
    <t>রশিদ</t>
  </si>
  <si>
    <t>নাসিমা খাতুন</t>
  </si>
  <si>
    <t>প্রবাসী</t>
  </si>
  <si>
    <t>উত্তর পাড়া, জালশুকা, গাংনী, মেহেরপুর</t>
  </si>
  <si>
    <t>মোঃ ইকবাল হোসেন</t>
  </si>
  <si>
    <t>মোছাঃ তানজিরা খাতুন</t>
  </si>
  <si>
    <t>১৫/০২/১৯৯৭</t>
  </si>
  <si>
    <t>জালশুকা উত্তর পাড়া, জালশুকা, গাংনী, মেহেরপুর</t>
  </si>
  <si>
    <t>মোঃ মিয়ারুল ইসলাম</t>
  </si>
  <si>
    <t>০৫/০৯/১৯৯৬</t>
  </si>
  <si>
    <t>জালশুকা মধ্যপাড়া, জালশুকা, গাংনী, মেহেরপুর</t>
  </si>
  <si>
    <t>মোঃ ডিউক আলী</t>
  </si>
  <si>
    <t>মোঃ ইলিয়াস হোসেন</t>
  </si>
  <si>
    <t>আকলিমা</t>
  </si>
  <si>
    <t>২২/০৮/১৯৯৪</t>
  </si>
  <si>
    <t>রুবেল আলী</t>
  </si>
  <si>
    <t>২৭/০১/১৯৯৫</t>
  </si>
  <si>
    <t>মোঃ ওমর ফারুক</t>
  </si>
  <si>
    <t>মোঃ হায়দার</t>
  </si>
  <si>
    <t>মোছাঃ জাহেরা খাতুন</t>
  </si>
  <si>
    <t>০৯/১১/১৯৯৬</t>
  </si>
  <si>
    <t>মোঃ আতাউল হক</t>
  </si>
  <si>
    <t>০৪/০৩/১৯৯৭</t>
  </si>
  <si>
    <t>মাঝ পাড়া, জালশুকা, গাংনী, মেহেরপুর</t>
  </si>
  <si>
    <t>শাহাজান</t>
  </si>
  <si>
    <t>নাজিম উদ্দীন</t>
  </si>
  <si>
    <t>শাহানাজ</t>
  </si>
  <si>
    <t>১০/০৭/১৯৯০</t>
  </si>
  <si>
    <t>মধ্যপাড়া, জালশুকা, গাংনী, মেহেরপুর</t>
  </si>
  <si>
    <t>মোঃ সাহাবুল হক</t>
  </si>
  <si>
    <t>তাঁরাচাঁদ আলী</t>
  </si>
  <si>
    <t>রেবেকা</t>
  </si>
  <si>
    <t>১০/০১/১৯৮৯</t>
  </si>
  <si>
    <t>জালশুকা বেলে পাড়া, জালশুকা, গাংনী, মেহেরপুর</t>
  </si>
  <si>
    <t>সখিরন</t>
  </si>
  <si>
    <t>১২/১০/১৯৮৫</t>
  </si>
  <si>
    <t>মোঃ নূর ইসলাম</t>
  </si>
  <si>
    <t>আদুরী খাতুন</t>
  </si>
  <si>
    <t>১৮/১২/১৯৯৭</t>
  </si>
  <si>
    <t>মাঝের পাড়া, জালশুকা, গাংনী, মেহেরপুর</t>
  </si>
  <si>
    <t>আবুজর গিফারী</t>
  </si>
  <si>
    <t>সেলিনা খাতুন</t>
  </si>
  <si>
    <t>২৯/১১/১৯৯৭</t>
  </si>
  <si>
    <t>মোঃ হুমায়ন কবির</t>
  </si>
  <si>
    <t>হাফিজুর রহমান</t>
  </si>
  <si>
    <t>১৩/০৩/১৯৭৩</t>
  </si>
  <si>
    <t>মোছাঃ সাহেদা খাতুন</t>
  </si>
  <si>
    <t>০৪/১২/১৯৯৫</t>
  </si>
  <si>
    <t>মোঃ আনোয়ার হোসেন</t>
  </si>
  <si>
    <t>মোছাঃ আঙ্গুরা খাতুন</t>
  </si>
  <si>
    <t>২৪/১০/১৯৯৬</t>
  </si>
  <si>
    <t>মোঃ হাকিমদ্দীন</t>
  </si>
  <si>
    <t>০২/০২/১৯৯৬</t>
  </si>
  <si>
    <t>মোঃ বাদশা মিয়া</t>
  </si>
  <si>
    <t>১১/০৩/১৯৯৬</t>
  </si>
  <si>
    <t>নূর মহামুদ</t>
  </si>
  <si>
    <t>মোছাঃ আজমিরা খাতুন</t>
  </si>
  <si>
    <t>২০/০৩/১৯৯০</t>
  </si>
  <si>
    <t>কাদের আলী</t>
  </si>
  <si>
    <t>২৯/০৯/১৯৯৭</t>
  </si>
  <si>
    <t>মোঃ আবু শাহিন</t>
  </si>
  <si>
    <t>ছিদ্দিকুর রহমান</t>
  </si>
  <si>
    <t>মোছাঃ কুলছুম</t>
  </si>
  <si>
    <t>০২/০৩/১৯৯১</t>
  </si>
  <si>
    <t>বালিয়া পাড়া, কসবা, গাংনী, মেহেরপুর</t>
  </si>
  <si>
    <t>শাহারুল ইসলাম</t>
  </si>
  <si>
    <t>মজিবুল হক</t>
  </si>
  <si>
    <t>শাহিনূর খাতুন</t>
  </si>
  <si>
    <t>১০/০৫/১৯৯৭</t>
  </si>
  <si>
    <t>বালিয়া পাড়া, জালশুকা, গাংনী, মেহেরপুর</t>
  </si>
  <si>
    <t>২৩/১২/১৯৯৭</t>
  </si>
  <si>
    <t>মোঃ জিহাদ আলী</t>
  </si>
  <si>
    <t>মোছাঃ রওশনারা</t>
  </si>
  <si>
    <t>০২/০৬/১৯৯৬</t>
  </si>
  <si>
    <t>মামুন আলী</t>
  </si>
  <si>
    <t>জালশুকা মুন্সি পাড়া, জালশুকা, গাংনী, মেহেরপুর</t>
  </si>
  <si>
    <t>মোঃ কারিমুল হক</t>
  </si>
  <si>
    <t>মোঃ সাজদার আলী</t>
  </si>
  <si>
    <t>মোছাঃ ফজিলা খাতুন</t>
  </si>
  <si>
    <t>মোঃ লাল চাঁদ আলী</t>
  </si>
  <si>
    <t>০৮/০৫/১৯৯৫</t>
  </si>
  <si>
    <t>মোছাঃ ইব্রাহিম হাসান</t>
  </si>
  <si>
    <t>নসিবা খাতুন</t>
  </si>
  <si>
    <t>০৬/০৭/১৯৯৮</t>
  </si>
  <si>
    <t>নাজমুল হোসেন</t>
  </si>
  <si>
    <t>মোছাঃ মালিয়া খাতুন</t>
  </si>
  <si>
    <t>২২/০৭/১৯৯৮</t>
  </si>
  <si>
    <t>মোছাঃ আক্তারুজ্জামান</t>
  </si>
  <si>
    <t>মোছাঃ রেহেনা খাতুন</t>
  </si>
  <si>
    <t>০৬/০৬/১৯৯৮</t>
  </si>
  <si>
    <t>মোঃ ইমরান হোসেন</t>
  </si>
  <si>
    <t>মুতালেব</t>
  </si>
  <si>
    <t>রঙ্গিলা</t>
  </si>
  <si>
    <t>১৭/০৯/১৯৯০</t>
  </si>
  <si>
    <t>মোঃ হারুন-অর-রশিদ</t>
  </si>
  <si>
    <t>মোঃ জমির উদ্দিন</t>
  </si>
  <si>
    <t>মোছাঃ নাসেরা খাতুন</t>
  </si>
  <si>
    <t>০১/০৩/১৯৯৮</t>
  </si>
  <si>
    <t>মোঃ আমজাদ আলী</t>
  </si>
  <si>
    <t>মোছাঃ রোহিলা খাতুন</t>
  </si>
  <si>
    <t>মোঃ সাইদুল ইসলাম</t>
  </si>
  <si>
    <t>১৪/১২/১৯৯৭</t>
  </si>
  <si>
    <t>মোঃ ইব্রাহিম ইসলাম</t>
  </si>
  <si>
    <t>মোঃ আঃ বারী</t>
  </si>
  <si>
    <t>১০/১২/১৯৯৭</t>
  </si>
  <si>
    <t>আবেদ</t>
  </si>
  <si>
    <t>আব্দুল কাদের</t>
  </si>
  <si>
    <t>জামেলা</t>
  </si>
  <si>
    <t>০৪/০৮/১৯৭৪</t>
  </si>
  <si>
    <t>হাসিবুল ইসলাম</t>
  </si>
  <si>
    <t>১০/০৮/১৯৯৮</t>
  </si>
  <si>
    <t>লিখন</t>
  </si>
  <si>
    <t>মহিবুল</t>
  </si>
  <si>
    <t>শিউলী</t>
  </si>
  <si>
    <t>০১/০৩/১৯৯২</t>
  </si>
  <si>
    <t>মোঃ শিহাব উদ্দিন</t>
  </si>
  <si>
    <t>২৩/১০/১৯৯৫</t>
  </si>
  <si>
    <t>১৫/০১/১৯৯৫</t>
  </si>
  <si>
    <t>মোঃ কাউছার আলী</t>
  </si>
  <si>
    <t>মোছাঃ নিছারন নেছা</t>
  </si>
  <si>
    <t>১২/১০/১৯৯২</t>
  </si>
  <si>
    <t>মোঃ শিমুল</t>
  </si>
  <si>
    <t>মোঃ মোশারেফ</t>
  </si>
  <si>
    <t>মোছাঃ আদরী খাতুন</t>
  </si>
  <si>
    <t>০১/০১/২০০০</t>
  </si>
  <si>
    <t>মোহাঃ রিপন আলী</t>
  </si>
  <si>
    <t>মোহাঃ আঃ কুদ্দুস</t>
  </si>
  <si>
    <t>০৩/০১/১৯৯৯</t>
  </si>
  <si>
    <t>মোঃ সুমন আলী</t>
  </si>
  <si>
    <t>মোঃ রমছদ্দীন</t>
  </si>
  <si>
    <t>১২/১১/১৯৯৮</t>
  </si>
  <si>
    <t>মোঃ জসিম উদ্দীন</t>
  </si>
  <si>
    <t>২৭/০১/১৯৯৬</t>
  </si>
  <si>
    <t>বালিয়াপাড়া, জালশুকা, কসবা, গাংনী, মেহেরপুর</t>
  </si>
  <si>
    <t>ওয়ায়েস কুরুনি</t>
  </si>
  <si>
    <t>ফরিদা খাতুন</t>
  </si>
  <si>
    <t>২০/০৮/১৯৯৮</t>
  </si>
  <si>
    <t>স্কুল পাড়া, জালশুকা, গাংনী, মেহেরপুর</t>
  </si>
  <si>
    <t>মোঃ হাসমত</t>
  </si>
  <si>
    <t>১৩/১০/১৯৯৮</t>
  </si>
  <si>
    <t>বালিয়া পাড়া, জালশুকা, কসবা, গাংনী, মেহেরপুর</t>
  </si>
  <si>
    <t>মোঃ আবুল বাসার মনা</t>
  </si>
  <si>
    <t>মৃত শওকত মালিথা</t>
  </si>
  <si>
    <t>১৮/১১/১৯৭৬</t>
  </si>
  <si>
    <t>মাঝেরপাড়া, জালশুকা, গাংনী, মেহেরপুর</t>
  </si>
  <si>
    <t>মোঃ মুনজুর আলী</t>
  </si>
  <si>
    <t>মৃত গনজের আলী</t>
  </si>
  <si>
    <t>০২/০১/১৯৮৪</t>
  </si>
  <si>
    <t>কসবা, গাংনী, মেহেরপুর</t>
  </si>
  <si>
    <t>মোঃ রাশেদুল ইসলাম</t>
  </si>
  <si>
    <t>০৭/০১/১৯৮৯</t>
  </si>
  <si>
    <t>স্কুলপাড়া, জালশুকা, গাংনী, মেহেরপুর</t>
  </si>
  <si>
    <t>মোঃ মাখারুল ইসলাম</t>
  </si>
  <si>
    <t>বেলী আরা খাতুন</t>
  </si>
  <si>
    <t>২৬/০৩/১৯৯৮</t>
  </si>
  <si>
    <t>মোল্লাপাড়া, জালশুকা, গাংনী, মেহেরপুর</t>
  </si>
  <si>
    <t>মোঃ বিদ্যুত হুসাইন</t>
  </si>
  <si>
    <t>মোঃ মোজাম্মেল হক</t>
  </si>
  <si>
    <t>মোছাঃ লাল বানু</t>
  </si>
  <si>
    <t>০৫/১০/১৯৯৬</t>
  </si>
  <si>
    <t>দাড়িপাড়া, জালশুকা, গাংনী, মেহেরপুর</t>
  </si>
  <si>
    <t>মোঃ হাসিবুল ইসলাম</t>
  </si>
  <si>
    <t>মোঃ আশাদুল</t>
  </si>
  <si>
    <t>চাইনা খাতুন</t>
  </si>
  <si>
    <t>১০/১১/১৯৯৮</t>
  </si>
  <si>
    <t>উত্তরপাড়া, জালশুকা, গাংনী, মেহেরপুর</t>
  </si>
  <si>
    <t>শামীম হাসান</t>
  </si>
  <si>
    <t>বাদল আলী</t>
  </si>
  <si>
    <t>জাহেদা খাতুন</t>
  </si>
  <si>
    <t>১৫/০৬/১৯৯৯</t>
  </si>
  <si>
    <t>সালমান ফারসী</t>
  </si>
  <si>
    <t>বজলুর রহমান</t>
  </si>
  <si>
    <t>রেহেনা</t>
  </si>
  <si>
    <t>১৬/০১/১৯৯৯</t>
  </si>
  <si>
    <t>দক্ষিণপাড়া, জালশুকা, গাংনী, মেহেরপুর</t>
  </si>
  <si>
    <t>নাজমুস সাকিব</t>
  </si>
  <si>
    <t>শাহীনুর খাতুন</t>
  </si>
  <si>
    <t>২৫/১২/১৯৯৯</t>
  </si>
  <si>
    <t>মোঃ হাসু</t>
  </si>
  <si>
    <t>২৭/১২/১৯৮৭</t>
  </si>
  <si>
    <t>উজ্জল আলী</t>
  </si>
  <si>
    <t>মোঃ আরমান</t>
  </si>
  <si>
    <t>সাহেরা খাতুন</t>
  </si>
  <si>
    <t>০১/০৫/১৯৮৪</t>
  </si>
  <si>
    <t>মোঃ রাশিদুল ইসলাম</t>
  </si>
  <si>
    <t>মছিরন নেছা</t>
  </si>
  <si>
    <t>০১/০১/১৯৯৭</t>
  </si>
  <si>
    <t>জালশুকা, ধানখোলা, গাংনী, মেহেরপুর</t>
  </si>
  <si>
    <t>মোঃ রাকিবুল ইসলাম</t>
  </si>
  <si>
    <t>মোছা: আইমানা খাতুন</t>
  </si>
  <si>
    <t>১৫/১২/২০০২</t>
  </si>
  <si>
    <t>-=, জালশুকা, গাংনী, মেহেরপুর</t>
  </si>
  <si>
    <t>মোঃ কনক আলী</t>
  </si>
  <si>
    <t>মোছা: চন্দনা খাতুন</t>
  </si>
  <si>
    <t>০১/০১/২০০৪</t>
  </si>
  <si>
    <t>মোঃ ইয়াকুব মন্ডল</t>
  </si>
  <si>
    <t>মোছা: শাহনাজ পারভীন</t>
  </si>
  <si>
    <t>১৮/০৩/১৯৯৮</t>
  </si>
  <si>
    <t>আব্দুল মান্নান</t>
  </si>
  <si>
    <t>০১/০৩/২০০২</t>
  </si>
  <si>
    <t>হোসেন</t>
  </si>
  <si>
    <t>মোছা: বছিরন নেছা</t>
  </si>
  <si>
    <t>১৮/১২/১৯৯০</t>
  </si>
  <si>
    <t>মোঃ জুয়েল রানা</t>
  </si>
  <si>
    <t>মোছা: মর্জিনা খাতুন</t>
  </si>
  <si>
    <t>২৮/০২/১৯৯৮</t>
  </si>
  <si>
    <t>মোঃ ইসরাফিল হোসেন</t>
  </si>
  <si>
    <t>মৃত মিনাজ উদ্দীন</t>
  </si>
  <si>
    <t>মোছা: মিনারা খাতুন</t>
  </si>
  <si>
    <t>১৫/০৭/২০০১</t>
  </si>
  <si>
    <t>মোঃ পান্নু মিয়া</t>
  </si>
  <si>
    <t>মোছা: ফেন্সি খাতুন</t>
  </si>
  <si>
    <t>১৫/১০/২০০০</t>
  </si>
  <si>
    <t>শেখ হাবিবুর চৌধুরি</t>
  </si>
  <si>
    <t>নাসেরা খাতুন</t>
  </si>
  <si>
    <t>২৮/১২/২০০১</t>
  </si>
  <si>
    <t>মোঃ সাগর আলী</t>
  </si>
  <si>
    <t>আশাদুল ইসলাম</t>
  </si>
  <si>
    <t>মোছা: জাহেদা</t>
  </si>
  <si>
    <t>২৭/১২/১৯৯৭</t>
  </si>
  <si>
    <t>মোঃ ছামিউল্লাহ</t>
  </si>
  <si>
    <t>মোছা: রমেলা খাতুন</t>
  </si>
  <si>
    <t>০১/০২/২০০৩</t>
  </si>
  <si>
    <t>মোঃ চঞ্চল আলী</t>
  </si>
  <si>
    <t>মোছা: সাহেরা খাতুন</t>
  </si>
  <si>
    <t>০১/০১/১৯৯৯</t>
  </si>
  <si>
    <t>১০/০৫/১৯৯১</t>
  </si>
  <si>
    <t>মোঃ তৌফিকুজ্জামান</t>
  </si>
  <si>
    <t>মোছাঃ সাবিনা ইয়াসমিন</t>
  </si>
  <si>
    <t>২৫/১০/১৯৯৭</t>
  </si>
  <si>
    <t>মোঃ রাকিবুল হক</t>
  </si>
  <si>
    <t>মোছাঃ শাহিনা খাতুন</t>
  </si>
  <si>
    <t>০১/০১/২০০১</t>
  </si>
  <si>
    <t>মুন্না</t>
  </si>
  <si>
    <t>মোশারফ</t>
  </si>
  <si>
    <t>তছিলমা</t>
  </si>
  <si>
    <t>০১/০১/১৯৯৫</t>
  </si>
  <si>
    <t>হাজেরা খাতুন</t>
  </si>
  <si>
    <t>১৫/০১/২০০২</t>
  </si>
  <si>
    <t>মোঃ মুলুক চাঁদ</t>
  </si>
  <si>
    <t>মৃত ইদবার আলী</t>
  </si>
  <si>
    <t>১৪/০১/১৯৯৭</t>
  </si>
  <si>
    <t>মোঃ আব্দুল্লাহ</t>
  </si>
  <si>
    <t>১৮/১২/২০০১</t>
  </si>
  <si>
    <t>মোছাঃ কুলছন খাতুন</t>
  </si>
  <si>
    <t>১৪/১২/২০০৩</t>
  </si>
  <si>
    <t>মোঃ আল মামুন</t>
  </si>
  <si>
    <t>মোছাঃ জেমেনা খাতুন</t>
  </si>
  <si>
    <t>১২/১০/২০০০</t>
  </si>
  <si>
    <t>মোছাঃ আরিশদা খাতুন</t>
  </si>
  <si>
    <t>০৫/১২/১৯৯৯</t>
  </si>
  <si>
    <t>মোঃ ইমন আলী</t>
  </si>
  <si>
    <t>২৯/১১/২০০১</t>
  </si>
  <si>
    <t>মোঃ রনি বিশ্বাস</t>
  </si>
  <si>
    <t>মোঃ আকতার আলী</t>
  </si>
  <si>
    <t>মোছাঃ রংফুল</t>
  </si>
  <si>
    <t>২৩/১২/২০০০</t>
  </si>
  <si>
    <t>১৭/১০/১৯৮৮</t>
  </si>
  <si>
    <t>মোঃ শিমুল হোসেন</t>
  </si>
  <si>
    <t>মোঃ শামীম হোসেন</t>
  </si>
  <si>
    <t>মোছাঃ শিউলি খাতুন</t>
  </si>
  <si>
    <t>১০/০৩/২০০২</t>
  </si>
  <si>
    <t>মৃত শহিদুল ইসলাম</t>
  </si>
  <si>
    <t>১৫/১২/১৯৯৭</t>
  </si>
  <si>
    <t>মোঃ আবেদুর রহমান</t>
  </si>
  <si>
    <t>মোছাঃ গুলশানারা</t>
  </si>
  <si>
    <t>২৫/০২/২০০১</t>
  </si>
  <si>
    <t>মোঃ আল আমিন</t>
  </si>
  <si>
    <t>মোছাঃ পারুলা খাতুন</t>
  </si>
  <si>
    <t>০২/০২/১৯৯৮</t>
  </si>
  <si>
    <t>মোঃ ছাব্বির হোসেন</t>
  </si>
  <si>
    <t>৩০/১২/২০০২</t>
  </si>
  <si>
    <t>মাহাবুল</t>
  </si>
  <si>
    <t>জামাল</t>
  </si>
  <si>
    <t>বাসিরন</t>
  </si>
  <si>
    <t>০৫/০২/১৯৯০</t>
  </si>
  <si>
    <t>মোঃ নাইম আলী</t>
  </si>
  <si>
    <t>মোঃ আব্দুর রশিদ</t>
  </si>
  <si>
    <t>মোছাঃ নাসিমা খাতুন</t>
  </si>
  <si>
    <t>২০/০৭/২০০৩</t>
  </si>
  <si>
    <t>আব্দুল খালেক</t>
  </si>
  <si>
    <t>মোছাঃ সাহানারা</t>
  </si>
  <si>
    <t>২০/০৩/২০০০</t>
  </si>
  <si>
    <t>মোছাঃ শাহেদা খাতুন</t>
  </si>
  <si>
    <t>মোঃ রাকিব হোসেন</t>
  </si>
  <si>
    <t>মোঃ রইছউদ্দীন</t>
  </si>
  <si>
    <t>মোছাঃ বছরন নেছা</t>
  </si>
  <si>
    <t>০১/০১/২০০৩</t>
  </si>
  <si>
    <t>মোঃ পলাশ আলী</t>
  </si>
  <si>
    <t>আনারুল</t>
  </si>
  <si>
    <t>সিকরন নেছা</t>
  </si>
  <si>
    <t>২৪/০৫/২০০৩</t>
  </si>
  <si>
    <t>মোঃ ইমরান আলি</t>
  </si>
  <si>
    <t>মোছাঃ নাজিরা খাতুন</t>
  </si>
  <si>
    <t>০১/০৩/২০০৩</t>
  </si>
  <si>
    <t>মোঃ মিলন আলি</t>
  </si>
  <si>
    <t>মোছাঃ ময়না খাতুন</t>
  </si>
  <si>
    <t>মোঃ তোতা আলী</t>
  </si>
  <si>
    <t>মোঃ জাজাল উদ্দীন</t>
  </si>
  <si>
    <t>০৩/০১/২০০২</t>
  </si>
  <si>
    <t>মোঃ আসাদ</t>
  </si>
  <si>
    <t>৩০/১০/১৯৯৬</t>
  </si>
  <si>
    <t>মোঃ নিসান আলী</t>
  </si>
  <si>
    <t>মোঃ জামিরুল ইসলাম</t>
  </si>
  <si>
    <t>মোঃ লিখন আলি</t>
  </si>
  <si>
    <t>০১/০১/২০০২</t>
  </si>
  <si>
    <t>মোঃ সাহিন আলী</t>
  </si>
  <si>
    <t>১৭/১২/২০০১</t>
  </si>
  <si>
    <t>মোঃ মারিজুল ইসলাম</t>
  </si>
  <si>
    <t>মোছাঃ কামরুন্নাহার</t>
  </si>
  <si>
    <t>০১/১০/২০০১</t>
  </si>
  <si>
    <t>মোঃ হৃদয় হোসেন</t>
  </si>
  <si>
    <t>মোঃ জিয়াউর রহমান</t>
  </si>
  <si>
    <t>মোছাঃ বেদনা খাতুন</t>
  </si>
  <si>
    <t>২৭/১০/১৯৯৮</t>
  </si>
  <si>
    <t>মোঃ বকুল আহমেদ</t>
  </si>
  <si>
    <t>জহুরা খাতুন</t>
  </si>
  <si>
    <t>২০/১১/১৯৯৭</t>
  </si>
  <si>
    <t>মৃত হালিমা খাতুন</t>
  </si>
  <si>
    <t>০৯/১২/১৯৮৮</t>
  </si>
  <si>
    <t>মোঃ সেরেফুল</t>
  </si>
  <si>
    <t>মোঃ নজির আলী</t>
  </si>
  <si>
    <t>হাফেজ উদ্দীন</t>
  </si>
  <si>
    <t>বাসিরন নেছা</t>
  </si>
  <si>
    <t>মোঃ শাকিল</t>
  </si>
  <si>
    <t>মোছাঃ আসমিনা খাতুন</t>
  </si>
  <si>
    <t>২৭/১২/১৯৯৯</t>
  </si>
  <si>
    <t>মোঃ সজিব রানা</t>
  </si>
  <si>
    <t>১৯/১২/১৯৯৭</t>
  </si>
  <si>
    <t>২০/০১/১৯৯৬</t>
  </si>
  <si>
    <t>মোঃ সেন্টু আলি</t>
  </si>
  <si>
    <t>মোছাঃ মহিলা</t>
  </si>
  <si>
    <t>০৫/১২/১৯৯৭</t>
  </si>
  <si>
    <t>মোঃ মুনতাজ আলী</t>
  </si>
  <si>
    <t>১৫/১২/২০০০</t>
  </si>
  <si>
    <t>শাহানাজ বেগম</t>
  </si>
  <si>
    <t>২১/১১/২০০১</t>
  </si>
  <si>
    <t>মোঃ আঃ মমিন</t>
  </si>
  <si>
    <t>মৃত মাদার শেখ</t>
  </si>
  <si>
    <t>১০/০৭/১৯৮৪</t>
  </si>
  <si>
    <t>১৩/০৩/২০০৩</t>
  </si>
  <si>
    <t>মোছাঃ আনিজরা খাতুন</t>
  </si>
  <si>
    <t>মোঃ রাকিব আলী</t>
  </si>
  <si>
    <t>১৮/০২/২০০২</t>
  </si>
  <si>
    <t>নাম: আলীরাজ</t>
  </si>
  <si>
    <t>মজিরন</t>
  </si>
  <si>
    <t>২৯/১০/২০০১</t>
  </si>
  <si>
    <t>মোঃ হানিফ আলী</t>
  </si>
  <si>
    <t>মোছাঃ সাহানা খাতুন</t>
  </si>
  <si>
    <t>১৯/০৯/১৯৯৯</t>
  </si>
  <si>
    <t>মোঃ শান্ত</t>
  </si>
  <si>
    <t>মোঃ বাবলু হোসেন</t>
  </si>
  <si>
    <t>০১/০৪/২০০১</t>
  </si>
  <si>
    <t>মোঃ মোহাম্মাদ দেলোয়ার হোসেন</t>
  </si>
  <si>
    <t>০৪/১০/১৯৯০</t>
  </si>
  <si>
    <t>মোঃ সোহাগ মিয়া</t>
  </si>
  <si>
    <t>মৃত হাসেম আলী</t>
  </si>
  <si>
    <t>মোছাঃ মদিনা খাতুন</t>
  </si>
  <si>
    <t>মোঃ শিলু মিয়া</t>
  </si>
  <si>
    <t>মোঃ রুকু আলী</t>
  </si>
  <si>
    <t>২৪/১২/২০০১</t>
  </si>
  <si>
    <t>মোঃ টিনকু</t>
  </si>
  <si>
    <t>মোছাঃ নাগিসয়ারা</t>
  </si>
  <si>
    <t>মোঃ সজিব আলী</t>
  </si>
  <si>
    <t>মোঃ সাহাজুল হক</t>
  </si>
  <si>
    <t>১৫/০৫/২০০০</t>
  </si>
  <si>
    <t>মাতা: সারা খাতুন</t>
  </si>
  <si>
    <t>২০/১০/১৯৮৩</t>
  </si>
  <si>
    <t>মোঃ ওয়াছেদ ইসলাম</t>
  </si>
  <si>
    <t>মোঃ আব্দুল গফুর</t>
  </si>
  <si>
    <t>মোছাঃ উছিয়া খাতুন</t>
  </si>
  <si>
    <t>মোঃ আলী কবির</t>
  </si>
  <si>
    <t>মোছাঃ রহিলা খাতুন</t>
  </si>
  <si>
    <t>১০/০৬/১৯৯৫</t>
  </si>
  <si>
    <t>মোঃ রাশেদ খান</t>
  </si>
  <si>
    <t>০৫/০৩/২০০২</t>
  </si>
  <si>
    <t>আনোয়ার আলী</t>
  </si>
  <si>
    <t>ওয়াজ আলী (মুল্লা)</t>
  </si>
  <si>
    <t>রেমেছা</t>
  </si>
  <si>
    <t>তারাচাঁদ</t>
  </si>
  <si>
    <t>১৭/১১/১৯৯১</t>
  </si>
  <si>
    <t>মোঃ রমিছ উদ্দীন মন্ডল</t>
  </si>
  <si>
    <t>মোছাঃ আকলিমা বেগম</t>
  </si>
  <si>
    <t>০২/০৩/১৯৭৪</t>
  </si>
  <si>
    <t>শামসুদ্দীন মন্ডল</t>
  </si>
  <si>
    <t>মোছাঃ রুবিয়া বেগম</t>
  </si>
  <si>
    <t>১৮/০১/১৯৭৭</t>
  </si>
  <si>
    <t>মোঃ বকুল শিকাদার</t>
  </si>
  <si>
    <t>মোঃ ফিরোজ আলী</t>
  </si>
  <si>
    <t>মোহাঃ তেনু</t>
  </si>
  <si>
    <t>১২/০৩/১৯৯৯</t>
  </si>
  <si>
    <t>মোঃ স্বাধীন আলী</t>
  </si>
  <si>
    <t>মোছা: মুক্তা খাতুন</t>
  </si>
  <si>
    <t>১৩/০২/২০০১</t>
  </si>
  <si>
    <t>মোঃ জিয়ারুল</t>
  </si>
  <si>
    <t>২০/০৩/১৯৮৫</t>
  </si>
  <si>
    <t>আজাদ</t>
  </si>
  <si>
    <t>আবুছদ্দীন</t>
  </si>
  <si>
    <t>কুলছন</t>
  </si>
  <si>
    <t>১৭/০২/১৯৯২</t>
  </si>
  <si>
    <t>মোঃ সবুর আলী</t>
  </si>
  <si>
    <t>০৩/০৯/২০০৪</t>
  </si>
  <si>
    <t>মোঃ রাশেদ আলী</t>
  </si>
  <si>
    <t>মোঃ চাঁদালী</t>
  </si>
  <si>
    <t>মোছাঃ রুশিয়া খাতুন</t>
  </si>
  <si>
    <t>০১/০১/২০০৫</t>
  </si>
  <si>
    <t>মোঃ লি পন</t>
  </si>
  <si>
    <t>মোছাঃ সুরভী খাতুন</t>
  </si>
  <si>
    <t>মোঃ তামিম আলী</t>
  </si>
  <si>
    <t>মোঃ আব্দুল আলিম</t>
  </si>
  <si>
    <t>মোছাঃ মমতাজ খাতুন</t>
  </si>
  <si>
    <t>০১/০৩/২০০৪</t>
  </si>
  <si>
    <t>মোছাঃ সাজেদা বেগম</t>
  </si>
  <si>
    <t>মোঃ লি পন আলী</t>
  </si>
  <si>
    <t>মোঃ মাহফুজুর রহমান</t>
  </si>
  <si>
    <t>মোছাঃ লিলি খাতুন</t>
  </si>
  <si>
    <t>০১/০৬/২০০৪</t>
  </si>
  <si>
    <t>মোঃ সাব্বির হোসেন</t>
  </si>
  <si>
    <t>মোছাঃ ছাবিনা খাতুন</t>
  </si>
  <si>
    <t>২৫/১১/২০০৪</t>
  </si>
  <si>
    <t>মোঃ বুলবুল মাহামুদ</t>
  </si>
  <si>
    <t>মোঃ ম্কেল আলী</t>
  </si>
  <si>
    <t>মোছাঃ গুলশান আরা</t>
  </si>
  <si>
    <t>মোঃ মোজাহিদ ইসলাম</t>
  </si>
  <si>
    <t>মোছাঃ আনিজরা বেগম</t>
  </si>
  <si>
    <t>০৩/০২/২০০৫</t>
  </si>
  <si>
    <t>মোঃ রাজু আহমেদ</t>
  </si>
  <si>
    <t>মোছাঃ নাছিমা খাতুন</t>
  </si>
  <si>
    <t>২৫/১২/২০০৫</t>
  </si>
  <si>
    <t>মোঃ আঃ ছালাম</t>
  </si>
  <si>
    <t>শিরিনা</t>
  </si>
  <si>
    <t>০১/০৩/২০০৫</t>
  </si>
  <si>
    <t>মোঃ তুষার আলী</t>
  </si>
  <si>
    <t>মোছাঃ এসমেতারা</t>
  </si>
  <si>
    <t>০১/০৬/২০০৫</t>
  </si>
  <si>
    <t>৩০/০৬/২০০৪</t>
  </si>
  <si>
    <t>মোঃ মোছাদ্দিক হোসেন</t>
  </si>
  <si>
    <t>মোঃ খায়রুল ইসলাম</t>
  </si>
  <si>
    <t>পিপয়ারা বেগম</t>
  </si>
  <si>
    <t>০১/০২/২০০৬</t>
  </si>
  <si>
    <t>মোঃ হুসাইন আলী</t>
  </si>
  <si>
    <t>মোছাঃ হাসেনয়ারা</t>
  </si>
  <si>
    <t>০১/০৮/২০০৬</t>
  </si>
  <si>
    <t>মোঃ নাহিম আলী</t>
  </si>
  <si>
    <t>মোছাঃ নাছিরন</t>
  </si>
  <si>
    <t>৩০/১২/২০০৬</t>
  </si>
  <si>
    <t>কাউছার আলী</t>
  </si>
  <si>
    <t>মৃত আকবার আলী</t>
  </si>
  <si>
    <t>মনোয়ারা খাতুন</t>
  </si>
  <si>
    <t>১১/০১/১৯৮৮</t>
  </si>
  <si>
    <t>মোঃ শাহিনুজ্জামান</t>
  </si>
  <si>
    <t>০১/১১/১৯৯৯</t>
  </si>
  <si>
    <t>মোহাঃ আজাম্মেল</t>
  </si>
  <si>
    <t>মোছাঃ ছানোয়ারা</t>
  </si>
  <si>
    <t>০১/০৬/১৯৯৯</t>
  </si>
  <si>
    <t>মোঃ রুবেল আলী</t>
  </si>
  <si>
    <t>২৭/১২/২০০০</t>
  </si>
  <si>
    <t>নাম: মামুন</t>
  </si>
  <si>
    <t>মাতা: মুক্তি</t>
  </si>
  <si>
    <t>০২/০৩/১৯৮৮</t>
  </si>
  <si>
    <t>কাশেম চৌধুরী</t>
  </si>
  <si>
    <t>মৃত উকিল চৌধুরী</t>
  </si>
  <si>
    <t>মৃত হাসিনা বেগম</t>
  </si>
  <si>
    <t>০১/০২/১৯৭৮</t>
  </si>
  <si>
    <t>জালশুকা গাংনী মেহেরপুর</t>
  </si>
  <si>
    <t>০১/১২/২০০০</t>
  </si>
  <si>
    <t>মোঃ আসাদ আলী</t>
  </si>
  <si>
    <t>১৩/১০/১৯৯৯</t>
  </si>
  <si>
    <t>মোঃ নয়ন আলী</t>
  </si>
  <si>
    <t>মোছাঃ বেদানা</t>
  </si>
  <si>
    <t>১০৪৭ জালশুকা গাংনী মেহেরপুর</t>
  </si>
  <si>
    <t>মোঃ ইউনুস আলি</t>
  </si>
  <si>
    <t>মো: আশিদা খাতুন</t>
  </si>
  <si>
    <t>২০/০২/২০০২</t>
  </si>
  <si>
    <t>মোছাঃ শাহিয়ারা খাতুন</t>
  </si>
  <si>
    <t>১৭/১১/২০০২</t>
  </si>
  <si>
    <t>৮৬৭ জালশুকা গাংনী মেহেরপুর</t>
  </si>
  <si>
    <t>মোছাঃ আফরোজা খাতুন</t>
  </si>
  <si>
    <t>০৪/০৬/২০০০</t>
  </si>
  <si>
    <t>মোঃ তৌফিক হোসেন</t>
  </si>
  <si>
    <t>মোছাঃ মহিমা খাতুন</t>
  </si>
  <si>
    <t>০৫/০৮/২০০০</t>
  </si>
  <si>
    <t>১২২৫ জালশুকা গাংনী মেহেরপুর</t>
  </si>
  <si>
    <t>মোঃ নূরামিন</t>
  </si>
  <si>
    <t>০৫/০২/২০০০</t>
  </si>
  <si>
    <t>১২১৩ জালশুকা গাংনী মেহেরপুর</t>
  </si>
  <si>
    <t>মোঃ নাহিদ</t>
  </si>
  <si>
    <t>মোছাঃ নাছিরন খাতুন</t>
  </si>
  <si>
    <t>০২/১১/২০০৩</t>
  </si>
  <si>
    <t>১১১৯ জালশুকা গাংনী মেহেরপুর</t>
  </si>
  <si>
    <t>মোঃ শাকিব আলী</t>
  </si>
  <si>
    <t>মোছাঃ তছলিমা খাতুন</t>
  </si>
  <si>
    <t>০৫/০৭/২০০৩</t>
  </si>
  <si>
    <t>সুমন</t>
  </si>
  <si>
    <t>১০৩৯ জালশুকা গাংনী মেহেরপুর</t>
  </si>
  <si>
    <t>মোছাঃ রূপালী খাতুন</t>
  </si>
  <si>
    <t>১১৭৫ জালশুকা গাংনী মেহেরপুর</t>
  </si>
  <si>
    <t>মোঃ ইসমাইল হক</t>
  </si>
  <si>
    <t>মোছাঃ আসুরা খাতুন</t>
  </si>
  <si>
    <t>০১/০৫/২০০০</t>
  </si>
  <si>
    <t>মোঃ রাসেল আলী</t>
  </si>
  <si>
    <t>মোছাঃ বিলকিস বানু</t>
  </si>
  <si>
    <t>০১/০৩/২০০০</t>
  </si>
  <si>
    <t>১০৪২ জালশুকা গাংনী মেহেরপুর</t>
  </si>
  <si>
    <t>মোঃ আম্মার</t>
  </si>
  <si>
    <t>মোঃ মিরাজুল</t>
  </si>
  <si>
    <t>শিল্পী বেগম</t>
  </si>
  <si>
    <t>০২/০৯/১৯৯০</t>
  </si>
  <si>
    <t>৯৮৫ জালশুকা গাংনী মেহেরপুর</t>
  </si>
  <si>
    <t>১৭/১২/১৯৯৯</t>
  </si>
  <si>
    <t>লিংকন আলী</t>
  </si>
  <si>
    <t>মোছাঃ শাহানাজ খাতুন</t>
  </si>
  <si>
    <t>মোঃ জুয়েল আলী</t>
  </si>
  <si>
    <t>০৬/০৬/১৯৯৯</t>
  </si>
  <si>
    <t>১১৩২ জালশুকা গাংনী মেহেরপুর</t>
  </si>
  <si>
    <t>মোঃ সাইফুল</t>
  </si>
  <si>
    <t>ছলেহা</t>
  </si>
  <si>
    <t>০২/০৫/১৯৯০</t>
  </si>
  <si>
    <t>মোঃ আরিফুল ইসলাম</t>
  </si>
  <si>
    <t>মৃত মিনা খাতুন</t>
  </si>
  <si>
    <t>মোঃ সজিব হোসেন</t>
  </si>
  <si>
    <t>মোছাঃ বানেয়া খাতুন</t>
  </si>
  <si>
    <t>০৮/০২/২০০৩</t>
  </si>
  <si>
    <t>মোঃ শাহজান আলী</t>
  </si>
  <si>
    <t>মোঃ মোক্কেল আলী</t>
  </si>
  <si>
    <t>২৬/১১/১৯৯৫</t>
  </si>
  <si>
    <t>মোঃ মাসুদ মিয়া</t>
  </si>
  <si>
    <t>মোঃ মুনসাদ আলী</t>
  </si>
  <si>
    <t>মোছাঃ মাকছুরা খাতুন</t>
  </si>
  <si>
    <t>০১/০৯/২০০৩</t>
  </si>
  <si>
    <t>মোঃ মিজানুর রহমান</t>
  </si>
  <si>
    <t>মোঃ মহাবুল হক</t>
  </si>
  <si>
    <t>মোছাঃ আংুরা খাতুন</t>
  </si>
  <si>
    <t>১২/০৩/২০০৩</t>
  </si>
  <si>
    <t>মোঃ রাইহান আলী</t>
  </si>
  <si>
    <t>মোছাঃ ছালিমা খাতুন</t>
  </si>
  <si>
    <t>০১/০৬/২০০২</t>
  </si>
  <si>
    <t>মোঃ শিপন আলী</t>
  </si>
  <si>
    <t>মোছাঃ রিনা খাতুন</t>
  </si>
  <si>
    <t>০১/০২/২০০০</t>
  </si>
  <si>
    <t>জালশুকা গাংনী মেহরপুর</t>
  </si>
  <si>
    <t>মোঃ আলহামদু</t>
  </si>
  <si>
    <t>মোছাঃ ববিতা খাতুন</t>
  </si>
  <si>
    <t>৮২৬ জালশুকা গাংনী মেহেরপুর</t>
  </si>
  <si>
    <t>মোঃ জুবায়ের আলী</t>
  </si>
  <si>
    <t>জিনারুল ইসলাম</t>
  </si>
  <si>
    <t>১০/০২/২০০২</t>
  </si>
  <si>
    <t>মোছাঃ ডলিযারা খাতুন</t>
  </si>
  <si>
    <t>০৪/০৩/২০০৪</t>
  </si>
  <si>
    <t>মোঃ সাব্বির আহমদ</t>
  </si>
  <si>
    <t>মোছাঃ সাহেরা খাতুন</t>
  </si>
  <si>
    <t>০৫/০৬/২০০৫</t>
  </si>
  <si>
    <t>মোঃ ফরজ আলী</t>
  </si>
  <si>
    <t>শিল্পীযারা খাতুন</t>
  </si>
  <si>
    <t>মোঃ পারভেজ হোসেন</t>
  </si>
  <si>
    <t>মোছাঃ পারভিনা খাতুন</t>
  </si>
  <si>
    <t>পারভেজ</t>
  </si>
  <si>
    <t>মোঃ মোশারফ</t>
  </si>
  <si>
    <t>মোছাঃ পারিছা খাতুন</t>
  </si>
  <si>
    <t>মোহাম্মাদ রাকিব রেজা</t>
  </si>
  <si>
    <t>সিরাজুল হক</t>
  </si>
  <si>
    <t>রওশনারা খাতুন</t>
  </si>
  <si>
    <t>১২/১০/১৯৯০</t>
  </si>
  <si>
    <t>৯৭১ জালশুকা গাংনী মেহেরপুর</t>
  </si>
  <si>
    <t>মোঃ রকিবুল হক</t>
  </si>
  <si>
    <t>১৫/০২/১৯৯৬</t>
  </si>
  <si>
    <t>মোঃ আছউদ্দিন</t>
  </si>
  <si>
    <t>২৫/০২/২০০৪</t>
  </si>
  <si>
    <t>সাকিল আহমেদ</t>
  </si>
  <si>
    <t>মোছাঃ বাসেরন</t>
  </si>
  <si>
    <t>১৮/০১/২০০৪</t>
  </si>
  <si>
    <t>মোঃ আরাফাত আলী</t>
  </si>
  <si>
    <t>মোঃ হাসান</t>
  </si>
  <si>
    <t>মোছাঃ নুরজাহান</t>
  </si>
  <si>
    <t>০২/০৬/২০০৩</t>
  </si>
  <si>
    <t>৯২৫ জালশুকা গাংনী মেহেরপুর</t>
  </si>
  <si>
    <t>মোঃ মুনেছর</t>
  </si>
  <si>
    <t>মোঃ আকাল উদ্দিন</t>
  </si>
  <si>
    <t>১০/০৮/১৯৮১</t>
  </si>
  <si>
    <t>শফি উদ্দীন</t>
  </si>
  <si>
    <t>০২/০১/১৯৮৫</t>
  </si>
  <si>
    <t>৭৭৯ জালশুকা গাংনী মেহেরপুর</t>
  </si>
  <si>
    <t>ছামেছের</t>
  </si>
  <si>
    <t>মোছাঃ ফুলছুরাতন খাতুন</t>
  </si>
  <si>
    <t>২০/০৪/১৯৭২</t>
  </si>
  <si>
    <t>মোঃ নাসীর উদ্দীন</t>
  </si>
  <si>
    <t>২৯/০৯/২০০৬</t>
  </si>
  <si>
    <t>মোছাঃ আরবিয়া খাতুন</t>
  </si>
  <si>
    <t>১০/০৫/২০০৩</t>
  </si>
  <si>
    <t>১২৫২ জালশুকা গাংনী মেহেরপুর</t>
  </si>
  <si>
    <t>মোঃ সবুজ আলী</t>
  </si>
  <si>
    <t>মোছাঃ রোজিফা খাতুন</t>
  </si>
  <si>
    <t>২৯/০৭/২০০৩</t>
  </si>
  <si>
    <t>৭৯৯ জালশুকা গাংনী মেহেরপুর</t>
  </si>
  <si>
    <t>মোঃ মুরছালিন মিয়া</t>
  </si>
  <si>
    <t>১০/০৫/২০০৫</t>
  </si>
  <si>
    <t>মোঃ জিয়রুল হক</t>
  </si>
  <si>
    <t>রিপন</t>
  </si>
  <si>
    <t>মোঃ বিশারত</t>
  </si>
  <si>
    <t>রিনা খাতুন</t>
  </si>
  <si>
    <t>২২/১০/১৯৯২</t>
  </si>
  <si>
    <t>উজ্জল</t>
  </si>
  <si>
    <t>রবিছন</t>
  </si>
  <si>
    <t>১১/০৪/১৯৭৭</t>
  </si>
  <si>
    <t>মোঃ আশিক আহমেদ</t>
  </si>
  <si>
    <t>মোঃ আঃ আলীম</t>
  </si>
  <si>
    <t>৯১২ জালশুকা গাংনী মেহরপুর</t>
  </si>
  <si>
    <t>মাসুদ রানা</t>
  </si>
  <si>
    <t>দবির উদ্দীন</t>
  </si>
  <si>
    <t>জয়নব</t>
  </si>
  <si>
    <t>০১/০৩/১৯৮৩</t>
  </si>
  <si>
    <t>মোঃ তৈয়ব আলী</t>
  </si>
  <si>
    <t>০৫/০১/১৯৮৬</t>
  </si>
  <si>
    <t>৮৭৮ জালশুকা গাংনী মেহরপুর</t>
  </si>
  <si>
    <t>মোঃ হৃদয়</t>
  </si>
  <si>
    <t>মোছাঃ পিকিলা (আসমা)</t>
  </si>
  <si>
    <t>২০/০৬/২০০২</t>
  </si>
  <si>
    <t>মোঃ কাকন আহমেদ</t>
  </si>
  <si>
    <t>মোছাঃ ফারজিনা</t>
  </si>
  <si>
    <t>মোছাঃ সোনা ভানু খাতুন</t>
  </si>
  <si>
    <t>১০/০৫/২০০৪</t>
  </si>
  <si>
    <t>মোঃ জোনায়েদ হোসেন</t>
  </si>
  <si>
    <t>মোছাঃ বিউটি খাতুন</t>
  </si>
  <si>
    <t>১৫/১১/২০০২</t>
  </si>
  <si>
    <t>০৮/০৫/২০০২</t>
  </si>
  <si>
    <t>মোঃ শিলন</t>
  </si>
  <si>
    <t>০৪/১০/২০০২</t>
  </si>
  <si>
    <t>মোঃ হাসিব আলী</t>
  </si>
  <si>
    <t>মোছাঃ সুরাইয়া</t>
  </si>
  <si>
    <t>০১/০১/২০০৭</t>
  </si>
  <si>
    <t>বায়েজিদ</t>
  </si>
  <si>
    <t>মোঃ শাহাজুল ইসলাম</t>
  </si>
  <si>
    <t>হুনোয়ারা খাতুন</t>
  </si>
  <si>
    <t>২২/০৫/১৯৯৯</t>
  </si>
  <si>
    <t>মোঃ ইয়াসিন আরাফাত</t>
  </si>
  <si>
    <t>মোঃ সাফায়েত</t>
  </si>
  <si>
    <t>মোঃ জহুরুল আলম</t>
  </si>
  <si>
    <t>মোছাঃ ছুরাতন খাতুন</t>
  </si>
  <si>
    <t>মোঃ আবু তালহা</t>
  </si>
  <si>
    <t>মোছাঃ নাজিরা</t>
  </si>
  <si>
    <t>৩০/১২/২০০৫</t>
  </si>
  <si>
    <t>মোঃ ইব্রাহিম আলী</t>
  </si>
  <si>
    <t>২০/০৫/২০০৬</t>
  </si>
  <si>
    <t>মোঃ লিজন আলী</t>
  </si>
  <si>
    <t>১৮/০২/২০০৪</t>
  </si>
  <si>
    <t>মোঃ সোহরাব হোসেন</t>
  </si>
  <si>
    <t>মৃত রাহিমা খাতুন</t>
  </si>
  <si>
    <t>মোঃ মামুন আলী</t>
  </si>
  <si>
    <t>০৩/০১/২০০৪</t>
  </si>
  <si>
    <t>মোঃ আকাশ আলী</t>
  </si>
  <si>
    <t>১৮/০৭/২০০৬</t>
  </si>
  <si>
    <t>মোছাঃ আর্জিনা খাতুন</t>
  </si>
  <si>
    <t>মোঃ মাসুদ রানা</t>
  </si>
  <si>
    <t>মোঃ শাহজাহান</t>
  </si>
  <si>
    <t>০১/০৩/২০০৬</t>
  </si>
  <si>
    <t>মোঃ আবুল বাসার</t>
  </si>
  <si>
    <t>মৃত আনারুল ইসলাম</t>
  </si>
  <si>
    <t>মোছাঃ সকিরন নেছা</t>
  </si>
  <si>
    <t>০১/০৯/২০০৫</t>
  </si>
  <si>
    <t>মোঃ রিদয় মন্ডল</t>
  </si>
  <si>
    <t>মোছাঃ লিপিয়ারা</t>
  </si>
  <si>
    <t>০৩/০৮/২০০৫</t>
  </si>
  <si>
    <t>মোঃ সাব্বির হাসান অন্তর</t>
  </si>
  <si>
    <t>১৫/১০/২০০৬</t>
  </si>
  <si>
    <t>মোহাঃ মুস্তাফিজুর রহমান</t>
  </si>
  <si>
    <t>৩০/০৭/২০০৪</t>
  </si>
  <si>
    <t>মোছাঃ শিউলী খাতুন</t>
  </si>
  <si>
    <t>১২/০২/২০০৪</t>
  </si>
  <si>
    <t>মোঃ ইমন</t>
  </si>
  <si>
    <t>মোঃ কুবু</t>
  </si>
  <si>
    <t>মোছাঃ খদেজা</t>
  </si>
  <si>
    <t>০৫/০২/২০০৪</t>
  </si>
  <si>
    <t>আবু ছদ্দিন</t>
  </si>
  <si>
    <t>লছন</t>
  </si>
  <si>
    <t>১১/০৮/১৯৮৩</t>
  </si>
  <si>
    <t>জিয়ার আলী</t>
  </si>
  <si>
    <t>সাহিদা খাতুন</t>
  </si>
  <si>
    <t>০৭/০৫/১৯৮৩</t>
  </si>
  <si>
    <t>৮৯১ জালশুকা গাংনী মেহরপুর</t>
  </si>
  <si>
    <t>মোঃ ইসমাইল হোসেন</t>
  </si>
  <si>
    <t>শামছদ্দিন মোল্লা</t>
  </si>
  <si>
    <t>১২/০৩/১৯৭০</t>
  </si>
  <si>
    <t>মোঃ ইকরামুল হক</t>
  </si>
  <si>
    <t>মোছাঃ রেখা খাতুন</t>
  </si>
  <si>
    <t>০১/০১/১৯৯৮</t>
  </si>
  <si>
    <t>মোঃ আল ফাহাদ হোসেন</t>
  </si>
  <si>
    <t>মোছাঃ শেফালী খাতুন</t>
  </si>
  <si>
    <t>১৩/০১/২০০৭</t>
  </si>
  <si>
    <t>মোঃ আরাফাত হোসেন</t>
  </si>
  <si>
    <t>মোহাঃ আনোয়ার হোসেন</t>
  </si>
  <si>
    <t>০৫/০৫/২০০৭</t>
  </si>
  <si>
    <t>১২২৬ জালশুকা গাংনী মেহরপুর</t>
  </si>
  <si>
    <t>মোঃ হাফিজুল রহমান</t>
  </si>
  <si>
    <t>মোছাঃ সেলিনা খাতুন</t>
  </si>
  <si>
    <t>২০/০৪/২০০৭</t>
  </si>
  <si>
    <t>মোঃ নাফিজুর রহমান</t>
  </si>
  <si>
    <t>৩০/০৮/২০০৭</t>
  </si>
  <si>
    <t>মোঃ সাহেদ রেজা</t>
  </si>
  <si>
    <t>মোহাঃ জিজুর রহমান</t>
  </si>
  <si>
    <t>২৫/০৪/২০০৭</t>
  </si>
  <si>
    <t>মোঃ রাজিব</t>
  </si>
  <si>
    <t>মৃত মহরম আলী</t>
  </si>
  <si>
    <t>মোছাঃ রেকসোনা খাতুন</t>
  </si>
  <si>
    <t>১০/১০/২০০৭</t>
  </si>
  <si>
    <t>মোঃ হাবিবুল্লাহ</t>
  </si>
  <si>
    <t>১২/০৪/২০০৭</t>
  </si>
  <si>
    <t>মোঃ ফিরোজুল হক রাজু</t>
  </si>
  <si>
    <t>২৪/০৭/২০০৭</t>
  </si>
  <si>
    <t>শাহিনুল জামান</t>
  </si>
  <si>
    <t>শফিকুল ইসলাম</t>
  </si>
  <si>
    <t>১৫/০৯/১৯৮১</t>
  </si>
  <si>
    <t>১১৮৪ জালশুকা গাংনী মেহরপুর</t>
  </si>
  <si>
    <t>মোহামাদ বিপুল আলী</t>
  </si>
  <si>
    <t>আসান আলী</t>
  </si>
  <si>
    <t>মৃত মর্জিনা</t>
  </si>
  <si>
    <t>০১/০৪/১৯৯১</t>
  </si>
  <si>
    <t>৯১৮ জালশুকা গাংনী মেহরপুর</t>
  </si>
  <si>
    <t>হেদায়েতুল্লাহ বিন আসওয়াদ</t>
  </si>
  <si>
    <t>১৯/০৭/২০০৬</t>
  </si>
  <si>
    <t>১১৭০ জালশুকা গাংনী মেহরপুর</t>
  </si>
  <si>
    <t>বিল্লাল</t>
  </si>
  <si>
    <t>আঃ ছাত্তার</t>
  </si>
  <si>
    <t>অজিফা</t>
  </si>
  <si>
    <t>১৩/০৪/১৯৮৪</t>
  </si>
  <si>
    <t>৯০৩ জালশুকা গাংনী মেহরপুর</t>
  </si>
  <si>
    <t>মৃত ওয়াজ বকস</t>
  </si>
  <si>
    <t>০২/০১/১৯৬৪</t>
  </si>
  <si>
    <t>০২/০৩/১৯৮৫</t>
  </si>
  <si>
    <t>১২৮২ জালশুকা গাংনী মেহরপুর</t>
  </si>
  <si>
    <t>মোঃ মোহন আলী</t>
  </si>
  <si>
    <t>মোছাঃ সেলিনা</t>
  </si>
  <si>
    <t>২৫/০৯/১৯৯০</t>
  </si>
  <si>
    <t>১২৮৪ জালশুকা গাংনী মেহরপুর</t>
  </si>
  <si>
    <t>ক্রমিক নং,নাম,ভোটার নং,পিতা,মাতা,জন্ম তারিখ,পেশা,ঠিকানা</t>
  </si>
  <si>
    <t>১০৬,মোঃ শহিদুল ইসলাম,৫৭০১৫৬৩৭৭৮২৮,মোহাঃ ছলেমান মন্ডল,মোছাঃ রহিমা,১৫/০৫/১৯৮৭,কৃষক,"জালশুকা উত্তর পাড়া, গাংনী, মেহেরপুর"</t>
  </si>
  <si>
    <t>১০৭,মোঃ সুলতান,৫৭০১৫৬৩৭৭৮৩৫,তৈজদ্দিন,ছালেহা,২২/০৫/১৯৫৭,কৃষক,"জালশুকা উত্তর পাড়া, গাংনী, মেহেরপুর"</t>
  </si>
  <si>
    <t>১০৮,মোঃ বিল্টু আলী,৫৭০১৫৬৩৭৭৮৩৮,মোঃ আব্দুল জলিল,মোছাঃ রেজিয়া খাতুন,০৩/০৪/১৯৬৯,কৃষক,"জালশুকা, গাংনী, মেহেরপুর"</t>
  </si>
  <si>
    <t>১০৯,মোঃ সেলিম রেজা,৫৭০১৫৬৩৭৭৮৪১,আজিজার বিশ্বাস,মোছাঃ জাহানারা খাতুন,০৬/০৭/১৯৮২,কৃষক,"জালশুকা, গাংনী, মেহেরপুর"</t>
  </si>
  <si>
    <t>১১০,মোঃ ইদ্রিস আলী,৫৭০১৫৬৩৭৭৮৪২,মোঃ রমছদ্দীন মন্ডল,মালেকা খাতুন,০৩/০৪/১৯৭৫,কৃষক,"জালশুকা, গাংনী, মেহেরপুর"</t>
  </si>
  <si>
    <t>১১১,মোঃ জামাল উদ্দীন,৫৭০১৫৬৩৭৭৮৪৫,মোঃ আব্দুল জলিল,মোছাঃ রেজিয়া খাতুন,০২/০৩/১৯৬৭,কৃষক,"জালশুকা, গাংনী, মেহেরপুর"</t>
  </si>
  <si>
    <t>১১২,মোঃ তরিকুল ইসলাম,৫৭০১৫৬৩৭৭৮৪৬,মোঃ আব্দুল আজিজ মুন্সী,হানোয়ারা খাতুন,২১/০৬/১৯৭২,কৃষক,"জালশুকা, গাংনী, মেহেরপুর"</t>
  </si>
  <si>
    <t>১১৩,মোঃ লুৎফর রহমান,৫৭০১৫৬৩৭৭৮৪৯,মোঃ আবু সিদ্দিক,মোছাঃ রহিমা খাতুন,০২/০৩/১৯৭৫,অন্যান্য,"জালশুকা, গাংনী, মেহেরপুর"</t>
  </si>
  <si>
    <t>১১৪,মোঃ বদিরুজ্জামান,৫৭০১৫৬৩৭৭৮৫০,মোঃ বজলুল হক,মোছাঃ জাহানারা খাতুন,০১/০১/১৯৮৬,ছাত্র/ছাত্রী,"জালশুকা, গাংনী, মেহেরপুর"</t>
  </si>
  <si>
    <t>১১৫,মোঃ ঠান্ডু,৫৭০১৫৬৩৭৭৮৫১,মোহাঃ মজিবর রহমান,মোছাঃ ময়না,১৪/১০/১৯৬১,কৃষক,"জালশুকা, গাংনী, মেহেরপুর"</t>
  </si>
  <si>
    <t>১১৬,মোঃ আনারুল হক,৫৭০১৫৬৩৭৭৮৫২,মোঃ মনিরুদ্দীন,মোছাঃ রোকিয়া খাতুন,২০/১০/১৯৭৫,ব্যবসা,"জালশুকা, গাংনী, মেহেরপুর"</t>
  </si>
  <si>
    <t>১১৭,মোঃ আলামিন হোসেন,৫৭০১৫৬৩৭৭৮৬০,মোঃ রতন মন্ডল,মোছাঃ তরিছন নেছা,২২/০৫/১৯৭০,কৃষক,"জালশুকা, গাংনী, মেহেরপুর"</t>
  </si>
  <si>
    <t>১১৮,মোঃ আব্দুল মালেক,৫৭০১৫৬৩৭৮০০৪,মোঃ শাজান আলী,মোছাঃ রাশেদা খাতুন,০১/১২/১৯৮০,কৃষক,"জালশুকা, গাংনী, মেহেরপুর"</t>
  </si>
  <si>
    <t>১১৯,মোঃ মেহের আলী,৫৭০১৫৬৩৭৮০০৭,মোঃ দবীর উদ্দীন মালিথা,মোছাঃ জরিমন্ নেছা,০১/০১/১৯৭১,কৃষক,"জালশুকা, গাংনী, মেহেরপুর"</t>
  </si>
  <si>
    <t>১২০,মোঃ আঃ ওহাব,৫৭০১৫৬৩৭৮০০৯,রহমান মন্ডল,আমেনা খাতুন,২৭/০৪/১৯৫৭,কৃষক,"জালশুকা, গাংনী, মেহেরপুর"</t>
  </si>
  <si>
    <t>১২১,মোঃ মঙ্গল মালিথা,৫৭০১৫৬৩৭৮০১৩,মোঃ দবীর উদ্দীন মালিথা,মোছাঃ জরিমন্ নেছা,০১/০১/১৯৯০,কৃষক,"জালশুকা, গাংনী, মেহেরপুর"</t>
  </si>
  <si>
    <t>১২২,মোঃ ইউছুফ আলী,৫৭০১৫৬৩৭৮০১৫,রবগুল শেখ,খবিরন নেছা,০১/০৪/১৯৫৭,কৃষক,"জালশুকা, গাংনী, মেহেরপুর"</t>
  </si>
  <si>
    <t>১২৩,মোঃ জামাল হোসেন,৫৭০১৫৬৩৭৮০১৮,রেজাউল,আম্বরা খাতুন,০১/০১/১৯৫৫,কৃষক,"জালশুকা, কসবা, গাংনী, মেহেরপুর"</t>
  </si>
  <si>
    <t>১২৪,মোঃ চাঁদালী,৫৭০১৫৬৩৭৮০২১,মোঃ হাশেম আলী,মোছাঃ ছানুয়ারা,০৫/০৭/১৯৭৯,কৃষক,"জালশুকা, গাংনী, মেহেরপুর"</t>
  </si>
  <si>
    <t>১২৫,মোঃ কামাল উদ্দীন,৫৭০১৫৬৩৭৮০২৪,মোঃ জামাল হোসেন,নুরজাহান খাতুন,১০/১০/১৯৮১,কৃষক,"জালশুকা, গাংনী, মেহেরপুর"</t>
  </si>
  <si>
    <t>১২৬,মোঃ লিটন আলী,৫৭০১৫৬৩৭৮০২৬,মোঃ হাশেম আলী,মোছাঃ ছানুয়ারা খাতুন,০৭/০৬/১৯৮২,ব্যবসা,"জালশুকা, গাংনী, মেহেরপুর"</t>
  </si>
  <si>
    <t>১২৭,মোঃ মজনুর রহমান,৫৭০১৫৬৩৭৮০২৯,মাদার শেখ,কমভানু,১২/১১/১৯৬২,ব্যবসা,"জালশুকা, গাংনী, মেহেরপুর"</t>
  </si>
  <si>
    <t>১২৯,মোঃ শফিকুল ইসলাম,৫৭০১৫৬৩৭৮০৩১,মোঃ হারুন মন্ডল,মোছাঃ সরবজান,২০/০৯/১৯৬৯,কৃষক,"জালশুকা, গাংনী, মেহেরপুর"</t>
  </si>
  <si>
    <t>১৩০,মোঃ মমিন,৫৭০১৫৬৩৭৮০৩৪,জাদু আলী,জেলেপন খাতুন,০৯/০৯/১৯৭২,কৃষক,"জালশুকা, গাংনী, মেহেরপুর"</t>
  </si>
  <si>
    <t>১৩২,মোঃ আব্দুল,৫৭০১৫৬৩৭৮০৩৬,মোঃ মমিন,মোছাঃ মজিরন,০৭/০৬/১৯৮২,কৃষক,"জালশুকা, গাংনী, মেহেরপুর"</t>
  </si>
  <si>
    <t>১৩৩,মোঃ রহিদুল ইসলাম,৫৭০১৫৬৩৭৮০৪২,মোঃ ছলেমান মন্ডল,মোছাঃ রাহিমা খাতুন,৩০/০৯/১৯৮০,ব্যবসা,"জালশুকা, গাংনী, মেহেরপুর"</t>
  </si>
  <si>
    <t>১৩৪,মোঃ মতিয়ার রহমান,৫৭০১৫৬৩৭৮০৪৩,মোঃ ফজল উদ্দীন,আনুয়ারা খাতুন,০৮/০৯/১৯৭৯,কৃষক,"জালশুকা, গাংনী, মেহেরপুর"</t>
  </si>
  <si>
    <t>১৩৫,মোঃ মজিদ,৫৭০১৫৬৩৭৮০৪৪,মোঃ আঃ আজিজ,মোছাঃ সাহার বানু,০৫/০২/১৯৮০,কৃষক,"জালশুকা, গাংনী, মেহেরপুর"</t>
  </si>
  <si>
    <t>১৩৬,মোঃ আবুহুদ্দীন মন্ডল,৫৭০১৫৬৩৭৮০৪৮,নবিছুদ্দীন মন্ডল,মোছাঃ সাহার বানু,৩০/০৭/১৯৫২,কৃষক,"জালশুকা, গাংনী, মেহেরপুর"</t>
  </si>
  <si>
    <t>১৩৭,মোঃ আলম,৫৭০১৫৬৩৭৮০৪৯,মোঃ আবুহুদ্দীন মন্ডল,মোছাঃ কুলছন নেছা,০৩/০৫/১৯৭৮,কৃষক,"জালশুকা, গাংনী, মেহেরপুর"</t>
  </si>
  <si>
    <t>১৩৮,মোঃ আলমাছ,৫৭০১৫৬৩৭৮০৫৬,মোঃ আবুল হোসেন,মোছাঃ জামেনা খাতুন,১০/১০/১৯৬৭,কৃষক,"জালশুকা, গাংনী, মেহেরপুর"</t>
  </si>
  <si>
    <t>১৩৯,মোঃ শামসুল হক,৫৭০১৫৬৩৭৮০৫৮,মোঃ আমীর মন্ডল,মোছাঃ জামিরন খাতুন,২০/০৫/১৯৫২,কৃষক,"জালশুকা, গাংনী, মেহেরপুর"</t>
  </si>
  <si>
    <t>১৪০,মোঃ মন্টু আলী,৫৭০১৫৬৩৭৮০৬১,আঃ আজিজ,মাহিরন নেছা,০১/০১/১৯৬৪,কৃষক,"জালশুকা, কসবা, গাংনী, মেহেরপুর"</t>
  </si>
  <si>
    <t>১৪১,মোঃ খোকন,৫৭০১৫৬৩৭৮০৬২,মোঃ আসান আলী,মোছাঃ মর্জিনা খাতুন,০৭/০৬/১৯৮৩,কৃষক,"জালশুকা, গাংনী, মেহেরপুর"</t>
  </si>
  <si>
    <t>১৪২,মোঃ সোনাহার,৫৭০১৫৬৩৭৮০৬৪,মোঃ শুকুর আলী,মোছাঃ হালিমা খাতুন,০৯/০৯/১৯৭২,ব্যবসা,"জালশুকা, গাংনী, মেহেরপুর"</t>
  </si>
  <si>
    <t>১৪৩,মোঃ আমিরুল ইসলাম,৫৭০১৫৬৩৭৮০৬৫,ইসমাইল হোসেন,মোছাঃ ফুলজান খাতুন,০১/০১/১৯৭৭,কৃষক,"জালশুকা, গাংনী, মেহেরপুর"</t>
  </si>
  <si>
    <t>১৪৪,মোঃ মহিবুল,৫৭০১৫৬৩৭৮০৬৬,নবিছুদ্দীন,মোছাঃ সাহার বানু,২৩/০৮/১৯৬৯,কৃষক,"জালশুকা, গাংনী, মেহেরপুর"</t>
  </si>
  <si>
    <t>১৪৫,মোঃ লাল্টু,৫৭০১৫৬৩৭৮০৬৭,মোঃ শুকুর আলী,মোছাঃ হালিমা খাতুন,০১/০১/১৯৮৬,কৃষক,"জালশুকা, গাংনী, মেহেরপুর"</t>
  </si>
  <si>
    <t>১৪৬,মোঃ সেলিম হোসেন,৫৭০১৫৬৩৭৮০৭১,মোঃ বশিরুদ্দীন,মোছাঃ আকলিমা,০৫/০৮/১৯৭৭,কৃষক,"জালশুকা, গাংনী, মেহেরপুর"</t>
  </si>
  <si>
    <t>১৪৭,মোঃ নাজমুল ইসলাম,৫৭০১৫৬৩৭৮০৭২,মোঃ বশিরুদ্দীন,মোছাঃ আকলিমা,১৪/০২/১৯৮৭,কৃষক,"জালশুকা মসজিদ পাড়া, গাংনী, মেহেরপুর"</t>
  </si>
  <si>
    <t>১৪৮,মোঃ খায়রুল ইসলাম,৫৭০১৫৬৩৭৮০৭৪,মোঃ ইউসুফ বিশ্বাস,মোছাঃ জাহিদা খাতুন,০৫/০৯/১৯৭৭,কৃষক,"জালশুকা, গাংনী, মেহেরপুর"</t>
  </si>
  <si>
    <t>১৪৯,মোঃ আনারুল ইসলাম,৫৭০১৫৬৩৭৮০৭৫,মোঃ ইউসুফ বিশ্বাস,মোছাঃ জাহিদা খাতুন,১৮/০৬/১৯৭২,কৃষক,"জালশুকা, গাংনী, মেহেরপুর"</t>
  </si>
  <si>
    <t>১৫০,মোঃ আবুহুদ্দীন,৫৭০১৫৬৩৭৮০৭৬,মোঃ আসান বিশ্বাস,আজিরন খাতুন,১৩/০৫/১৯৭৫,শ্রমিক,"জালশুকা উত্তর পাড়া, গাংনী, মেহেরপুর"</t>
  </si>
  <si>
    <t>১৫১,মোঃ কুদ্দুস আলী,৫৭০১৫৬৩৭৮০৭৭,জাহা বকস,আনোয়ারা খাতুন,২৪/১২/১৯৭২,কৃষক,"জালশুকা, গাংনী, মেহেরপুর"</t>
  </si>
  <si>
    <t>১৫২,মোঃ ইমদাদুল,৫৭০১৫৬৩৭৮০৭৮,মোঃ আকবর আলী,মোছাঃ মনোয়ারা খাতুন,১০/০৮/১৯৭৯,কৃষক,"জালশুকা উত্তর পাড়া, গাংনী, মেহেরপুর"</t>
  </si>
  <si>
    <t>১৫৩,মোঃ হাসান আলী,৫৭০১৫৬৩৭৮০৭৯,মোঃ ইউসুফ আলী,মোছাঃ জাহেদা খাতুন,২০/০৪/১৯৮১,কৃষক,"জালশুকা, গাংনী, মেহেরপুর"</t>
  </si>
  <si>
    <t>১৫৪,মোঃ বিল্লাল হোসেন,৫৭০১৫৬৩৭৮০৮৪,নবীছদ্দীন,মোছাঃ সাহার বানু,০৫/০২/১৯৭০,কৃষক,"জালশুকা, গাংনী, মেহেরপুর"</t>
  </si>
  <si>
    <t>১৫৫,মোঃ ইদ্রিস আলী,৫৭০১৫৬৩৭৮০৮৫,জাহাবক্স,মোছাঃ আনোয়ারা খাতুন,১৫/০৩/১৯৭২,কৃষক,"জালশুকা, গাংনী, মেহেরপুর"</t>
  </si>
  <si>
    <t>১৫৬,মোঃ জহুরুল ইসলাম,৫৭০১৫৬৩৭৮০৮৬,ছাদেক আলী,আমেনা খাতুন,১৭/১১/১৯৮২,কৃষক,"জালশুকা, গাংনী, মেহেরপুর"</t>
  </si>
  <si>
    <t>১৫৭,মোঃ আয়ুব আলী,৫৭০১৫৬৩৭৮০৯৫,মোঃ হেলাল উদ্দীন,মোছাঃ ঝর্না খাতুন,০৪/০৫/১৯৮৫,কৃষক,"জালশুকা, গাংনী, মেহেরপুর"</t>
  </si>
  <si>
    <t>১৫৮,মোঃ বাবুল হোসেন,৫৭০১৫৬৩৭৮০৯৮,মোঃ জামাল উদ্দীন,মোছাঃ আছিয়া খাতুন,১২/০৫/১৯৮৫,কৃষক,"জালশুকা, গাংনী, মেহেরপুর"</t>
  </si>
  <si>
    <t>১৫৯,মোঃ আশাদুল ইসলাম,৫৭০১৫৬৩৭৮০৯৯,মোঃ আঃ বারেক,মোছাঃ সুফিয়া খাতুন,১৫/১১/১৯৭৫,দিনমজুর,"জালশুকা, গাংনী, মেহেরপুর"</t>
  </si>
  <si>
    <t>১৬০,মোঃ খবির উদ্দীন,৫৭০১৫৬৩৭৮১০৩,ওয়াজ বক্স মালিথা,মোছাঃ ইজারন নেছা,১০/০২/১৯৬১,কৃষক,"জালশুকা, গাংনী, মেহেরপুর"</t>
  </si>
  <si>
    <t>১৬১,মোঃ দবির উদ্দীন,৫৭০১৫৬৩৭৮১০৪,ওয়াজ বক্স মালিথা,মোছাঃ ইজারন নেছা,২০/০২/১৯৫৯,কৃষক,"জালশুকা, গাংনী, মেহেরপুর"</t>
  </si>
  <si>
    <t>১৬২,মোঃ মুকুল হোসেন,৫৭০১৫৬৩৭৮১০৫,মোঃ মনসুর আলী,মোছাঃ কহিনুর নেছা,০৫/০৮/১৯৬৬,কৃষক,"জালশুকা, গাংনী, মেহেরপুর"</t>
  </si>
  <si>
    <t>১৬৩,মোঃ বকুল হোসেন,৫৭০১৫৬৩৭৮১০৭,মোঃ মনছুর আলী,মোছাঃ কহিনুর নেছা,৩১/১২/১৯৮০,কৃষক,"জালশুকা, গাংনী, মেহেরপুর"</t>
  </si>
  <si>
    <t>১৬৪,মোঃ আশাদুল হক,৫৭০১৫৬৩৭৮১১০,ওয়াজ বক্স,মোছাঃ ইজারন নেছা,২৫/০২/১৯৭৪,কৃষক,"জালশুকা, গাংনী, মেহেরপুর"</t>
  </si>
  <si>
    <t>১৬৫,মোঃ নাসির উদ্দীন,৫৭০১৫৬৩৭৮১১২,ওয়াজ বক্স মালিথা,মোছাঃ ইজারন নেছা,০২/০২/১৯৭২,কৃষক,"জালশুকা, গাংনী, মেহেরপুর"</t>
  </si>
  <si>
    <t>১৬৬,মোঃ সাইফুল ইসলাম,৫৭০১৫৬৩৭৮১১৪,মোঃ দবির উদ্দীন,মোছাঃ রিজিয়া খাতুন,৩১/১২/১৯৮৩,ছাত্র/ছাত্রী,"জালশুকা, গাংনী, মেহেরপুর"</t>
  </si>
  <si>
    <t>১৬৭,মোঃ আলামিন মালিথা,৫৭০১৫৬৩৭৮১১৫,মোঃ দবির উদ্দীন,মোছাঃ রিজিয়া খাতুন,১১/০১/১৯৮৭,কৃষক,"জালশুকা, গাংনী, মেহেরপুর"</t>
  </si>
  <si>
    <t>১৬৮,মোঃ রবিউল হক,৫৭০১৫৬৩৭৮১১৭,ওয়াজ বক্স মালিথা,মোছাঃ ইজারন নেছা,১৭/০৪/১৯৪৫,কৃষক,"জালশুকা, গাংনী, মেহেরপুর"</t>
  </si>
  <si>
    <t>১৬৯,মোঃ তোফাজ্জেল হোসেন,৫৭০১৫৬৩৭৮১১৯,উম্মাদ আলী,মোছাঃ রবিয়া খাতুন,০৫/০৬/১৯৬১,ব্যবসা,"জালশুকা, গাংনী, মেহেরপুর"</t>
  </si>
  <si>
    <t>১৭০,মোঃ আলেকচাঁদ,৫৭০১৫৬৩৭৮১২০,মোঃ তোফাজ্জেল হোসেন,মোছাঃ মাবিয়া খাতুন,০৭/০৬/১৯৮২,কৃষক,"জালশুকা, গাংনী, মেহেরপুর"</t>
  </si>
  <si>
    <t>১৭১,মোঃ রতন আলী,৫৭০১৫৬৩৭৮১২৮,মোঃ বুদু আলী,মোছাঃ সবুরন নেছা,০৫/০৩/১৯৮৩,কৃষক,"জালশুকা, গাংনী, মেহেরপুর"</t>
  </si>
  <si>
    <t>১৭২,মোঃ মশিউর রহমান,৫৭০১৫৬৩৭৮১৩১,মোঃ আহার উদ্দীন মন্ডল,মোছাঃ জাহানারা খাতুন,০১/০১/১৯৮৩,কৃষক,"জালশুকা, গাংনী, মেহেরপুর"</t>
  </si>
  <si>
    <t>১৭৩,মোঃ হাসিবুল,৫৭০১৫৬৩৭৮১৩৩,মোঃ মোহারদ্দীন্ মন্ডল,মোছাঃ খবেজা খাতুন,২৫/১০/১৯৮২,কৃষক,"জালশুকা, গাংনী, মেহেরপুর"</t>
  </si>
  <si>
    <t>১৭৪,মোঃ রবিউল ইসলাম,৫৭০১৫৬৩৭৮১৩৬,মোঃ মোছার উদ্দীন মন্ডল,মোছাঃ খবেজা খাতুন,০৯/০৯/১৯৭১,কৃষক,"জালশুকা, গাংনী, মেহেরপুর"</t>
  </si>
  <si>
    <t>১৭৫,মোঃ নুর ইসলাম,৫৭০১৫৬৩৭৮১৪০,নেপাল মন্ডল,জবেদা খাতুন,০১/০১/১৯৫৬,কৃষক,"জালশুকা, গাংনী, মেহেরপুর"</t>
  </si>
  <si>
    <t>১৭৬,মোঃ বিল্লাল হোসেন,৫৭০১৫৬৩৭৮১৪৩,মোঃ আসান আলী,মোছাঃ অজিফা খাতুন,০৫/০৩/১৯৮৪,কৃষক,"জালশুকা, গাংনী, মেহেরপুর"</t>
  </si>
  <si>
    <t>১৭৭,মোঃ শহিদুল ইসলাম,৫৭০১৫৬৩৭৮১৪৬,মোঃ রমজান আলী,মোছাঃ সুফিয়া খাতুন,০২/০৩/১৯৭৩,কৃষক,"জালশুকা, গাংনী, মেহেরপুর"</t>
  </si>
  <si>
    <t>১৭৮,মোঃ আসান আলী,৫৭০১৫৬৩৭৮১৪৭,যাদু আলী মন্ডল,মোছাঃ জেলেশন নেছা,১৫/০৫/১৯৫৯,কৃষক,"জালশুকা, গাংনী, মেহেরপুর"</t>
  </si>
  <si>
    <t>১৭৯,মোঃ হেলাল উদ্দীন,৫৭০১৫৬৩৭৮১৫০,মোঃ মানিক মন্ডল,মোছাঃ কমেলা খাতুন,১০/১০/১৯৬৭,কৃষক,"জালশুকা, গাংনী, মেহেরপুর"</t>
  </si>
  <si>
    <t>১৮০,মোঃ বরকত আলী,৫৭০১৫৬৩৭৮১৫২,ইলা বক্স,মোছাঃ এলেপন,০১/০১/১৯৭৯,কৃষক,"জালশুকা, গাংনী, মেহেরপুর"</t>
  </si>
  <si>
    <t>১৮১,মোঃ আতিয়ার রহমান,৫৭০১৫৬৩৭৮১৫৩,মোঃ কুরবান আলী,হামিদা খাতুন,০১/০১/১৯৭৯,ব্যবসা,"জালশুকা, গাংনী, মেহেরপুর"</t>
  </si>
  <si>
    <t>১৮২,মোঃ মিরাজুল ইসলাম,৫৭০১৫৬৩৭৮১৫৭,মোঃ কাদের শেখ,মোছাঃ জমেলা খাতুন,০৫/০৫/১৯৭৯,কৃষক,"জালশুকা, গাংনী, মেহেরপুর"</t>
  </si>
  <si>
    <t>১৮৩,মোঃ খলিলুর রহমান,৫৭০১৫৬৩৭৮১৫৯,জাদুআলী মন্ডল,মোছাঃ জেলেখা খাতুন,১২/১১/১৯৬২,কৃষক,"জালশুকা, গাংনী, মেহেরপুর"</t>
  </si>
  <si>
    <t>১৮৪,মোঃ ফজল উদ্দীন,৫৭০১৫৬৩৭৮১৬০,রব্বানী মন্ডল,মোছাঃ আক্কিন নেছা,০১/০১/১৯৪৮,কৃষক,"জালশুকা, গাংনী, মেহেরপুর"</t>
  </si>
  <si>
    <t>১৮৫,মোঃ রিপন আলী,৫৭০১৫৬৩৭৮১৬১,মোঃ মন্টু আলী,মোছাঃ আসমা খাতুন,০৬/০৬/১৯৭৯,কৃষক,"জালশুকা, গাংনী, মেহেরপুর"</t>
  </si>
  <si>
    <t>১৮৬,মোঃ আসান আলী,৫৭০১৫৬৩৭৮১৬৩,জবেদ আলী,শরিপান নেছা,১০/১০/১৯৫৭,কৃষক,"জালশুকা, গাংনী, মেহেরপুর"</t>
  </si>
  <si>
    <t>১৮৭,মোঃ বিপুল,৫৭০১৫৬৩৭৮১৬৪,মোঃ আসান উদ্দীন,মোছাঃ মর্জিনা খাতুন,০১/০১/১৯৮৬,শ্রমিক,"জালশুকা, গাংনী, মেহেরপুর"</t>
  </si>
  <si>
    <t>১৮৮,মোঃ সোহেল রানা,৫৭০১৫৬৩৭৮১৭২,মোঃ মন্টু আলী,মোছাঃ আসমা খাতুন,০১/০১/১৯৮৩,কৃষক,"জালশুকা, গাংনী, মেহেরপুর"</t>
  </si>
  <si>
    <t>১৮৯,মোঃ আবুল কাশেম,৫৭০১৫৬৩৭৮১৭৩,মোঃ মজিবর রহমান,মোছাঃ মইমনা খাতুন,১০/১০/১৯৬৭,ব্যবসা,"জালশুকা, গাংনী, মেহেরপুর"</t>
  </si>
  <si>
    <t>১৯০,মোঃ কামাল উদ্দীন,৫৭০১৫৬৩৭৮১৭৯,মোঃ দবীর উদ্দীন মালিথা,মোছাঃ জরিমন্ নেছা,১০/০২/১৯৮৭,কৃষক,"জালশুকা, কসবা, গাংনী, মেহেরপুর"</t>
  </si>
  <si>
    <t>১৯১,মোঃ এরশাদ আলী,৫৭০১৫৬৩৭৮১৮০,মোঃ দবির উদ্দীন মালিথা,মোছাঃ জমিনর নেছা,০১/০১/১৯৯০,কৃষক,"জালশুকা, গাংনী, মেহেরপুর"</t>
  </si>
  <si>
    <t>১৯২,মোঃ মিনারুল ইসলাম,৫৭০১৫৬৩৭৮১৮৫,মোঃ কুরমান আলি,মোছাঃ হামেদা খাতুন,২৮/০৬/১৯৭৩,কৃষক,"জালশুকা, গাংনী, মেহেরপুর"</t>
  </si>
  <si>
    <t>১৯৩,মোঃ এনামুল হক,৫৭০১৫৬৩৭৮১৮৭,মোঃ ফজল উদ্দীন,আনুয়ারা খাতুন,০৮/০৫/১৯৭৯,কৃষক,"জালশুকা, কসবা, গাংনী, মেহেরপুর"</t>
  </si>
  <si>
    <t>১৯৪,মোঃ হানেফ আলি,৫৭০১৫৬৩৭৮১৯০,মোঃ মজিবর রহমান,মোছাঃ মইমানা খাতুন,৩০/০৭/১৯৭৭,কৃষক,"জালশুকা, গাংনী, মেহেরপুর"</t>
  </si>
  <si>
    <t>১৯৫,মোঃ তমছের আলি,৫৭০১৫৬৩৭৮১৯৩,মোঃ আমীর মন্ডল,মোছাঃ জামিরন,১১/০৯/১৯৬৭,কৃষক,"জালশুকা, গাংনী, মেহেরপুর"</t>
  </si>
  <si>
    <t>১৯৬,মোঃ মনিরুল ইসলাম,৫৭০১৫৬৩৭৮১৯৫,মোঃ তমছের আলী,মোছাঃ তাসলিমা খাতুন,০৫/০৩/১৯৮৪,কৃষক,"জালশুকা, গাংনী, মেহেরপুর"</t>
  </si>
  <si>
    <t>১৯৭,মোঃ নজরুল ইসলাম,৫৭০১৫৬৩৭৮১৯৭,খলিলুর রহমান,মোছাঃ তোফারন নেছা,০২/০৩/১৯৭২,কৃষক,"জালশুকা, গাংনী, মেহেরপুর"</t>
  </si>
  <si>
    <t>১৯৮,মোঃ আঃ রাজ্জাক,৫৭০১৫৬৩৭৮১৯৮,জবেদ আলী,শরিফান নেছা,২৫/১১/১৯৬২,কৃষক,"জালশুকা, গাংনী, মেহেরপুর"</t>
  </si>
  <si>
    <t>১৯৯,মোঃ তুহিন আলী,৫৭০১৫৬৩৭৮২০১,মোঃ বাবলু আলী,মোছাঃ অলিয়া খাতুন,০৫/০৭/১৯৮৪,কৃষক,"জালশুকা, গাংনী, মেহেরপুর"</t>
  </si>
  <si>
    <t>২০০,মোঃ বাবলু আলী,৫৭০১৫৬৩৭৮২০৩,লুৎফর রহমান,মোছাঃ রাবিয়া খাতুন,১৯/০৪/১৯৫৯,ব্যবসা,"জালশুকা উত্তর পাড়া, গাংনী, মেহেরপুর"</t>
  </si>
  <si>
    <t>২০১,মোঃ ফজলুল হক,৫৭০১৫৬৩৭৮২০৮,লৎফর রহমান,রাবিয়া খাতুন,১২/১০/১৯৪৫,কৃষক,"জালশুকা মসজিদ পাড়া, গাংনী, মেহেরপুর"</t>
  </si>
  <si>
    <t>২০২,মোঃ সাইফুল ইসলাম,৫৭০১৫৬৩৭৮২০৯,মোঃ ফজলুল হক,মোছাঃ রোকেয়া বেগম,১১/০৮/১৯৮০,কৃষক,"জালশুকা, গাংনী, মেহেরপুর"</t>
  </si>
  <si>
    <t>২০৩,মোঃ বাবুল হোসেন,৫৭০১৫৬৩৭৮২১১,মোঃ আবুল হোসেন,মোছাঃ মছিরন নেছা,০৪/০৭/১৯৭২,কৃষক,"জালশুকা, গাংনী, মেহেরপুর"</t>
  </si>
  <si>
    <t>২০৪,মোঃ ঈশারুদ্দীন,৫৭০১৫৬৩৭৮২১২,তাহাজদ্দিন,মোছাঃ সফুরা খাতুন,১৭/০৮/১৯৬৪,কৃষক,"জালশুকা মসজিদ পাড়া, গাংনী, মেহেরপুর"</t>
  </si>
  <si>
    <t>২০৫,মোঃ আমিরুল ইসলাম,৫৭০১৫৬৩৭৮২১৫,যাদু মন্ডল,মোছাঃ জেলেপন,২১/০৪/১৯৭০,কৃষক,"জালশুকা মসজিদ পাড়া, গাংনী, মেহেরপুর"</t>
  </si>
  <si>
    <t>২০৬,মোঃ জাহাঙ্গীর আলম,৫৭০১৫৬৩৭৮২১৮,মোঃ ঈশারুদ্দীন,মোছাঃ আশানুর,০৯/০৪/১৯৭৯,কৃষক,"জালশুকা মসজিদ পাড়া, গাংনী, মেহেরপুর"</t>
  </si>
  <si>
    <t>২০৭,মোঃ শিপলু আলী,৫৭০১৫৬৩৭৮২১৯,মোঃ তাহিরুদ্দীন,মোছাঃ রেবেকা খাতুন,০৮/০৫/১৯৮৮,কৃষক,"জালশুকা মসজিদ পাড়া, গাংনী, মেহেরপুর"</t>
  </si>
  <si>
    <t>২০৮,মোঃ মাসুদ আলী,৫৭০১৫৬৩৭৮২২০,মোঃ দবির উদ্দীন,মোছাঃ জয়নব নেছা,১৫/০৩/১৯৮৩,কৃষক,"জালশুকা, গাংনী, মেহেরপুর"</t>
  </si>
  <si>
    <t>২০৯,মোঃ ছনিরদ্দীন,৫৭০১৫৬৩৭৮২২২,ছামছুদ্দি মালিথা,আইজান নেছা,০১/০১/১৯৪৮,কৃষক,"জালশুকা, গাংনী, মেহেরপুর"</t>
  </si>
  <si>
    <t>২১০,মোঃ আপছার আলী,৫৭০১৫৬৩৭৮২২৩,মোঃ ছনিরদ্দিন,মোছাঃ শবজান,২৩/০৯/১৯৬৭,কৃষক,"জালশুকা, গাংনী, মেহেরপুর"</t>
  </si>
  <si>
    <t>২১১,মোঃ এনামুল হক,৫৭০১৫৬৩৭৮২২৪,মোঃ ছনিরদ্দিন,মোছাঃ শবজান,০৫/০২/১৯৭৭,বেকার,"জালশুকা, গাংনী, মেহেরপুর"</t>
  </si>
  <si>
    <t>২১২,মোঃ মিয়াজান,৫৭০১৫৬৩৭৮২২৫,মোঃ দবির উদ্দীন,মোছাঃ জয়নব নেছা,১৭/০৪/১৯৭২,কৃষক,"জালশুকা, গাংনী, মেহেরপুর"</t>
  </si>
  <si>
    <t>২১৩,মোঃ সুজন আলী,৫৭০১৫৬৩৭৮২২৬,মোঃ মহাসিন আলী,মোছাঃ ছামসুন্নার,২৬/০৬/১৯৮৮,কৃষক,"জালশুকা, গাংনী, মেহেরপুর"</t>
  </si>
  <si>
    <t>২১৪,মোঃ জাহাঙ্গীর আলম,৫৭০১৫৬৩৭৮২২৭,মোঃ মহসিন আলী,মোছাঃ ছামসুন্নাহার,০১/০১/১৯৮৭,কৃষক,"জালশুকা, গাংনী, মেহেরপুর"</t>
  </si>
  <si>
    <t>২১৫,মোঃ রায়তাল হক,৫৭০১৫৬৩৭৮২২৯,মোঃ ঘেরের আলী,মোছাঃ সোহাগী,২০/০২/১৯৬১,কৃষক,"জালশুকা, গাংনী, মেহেরপুর"</t>
  </si>
  <si>
    <t>২১৬,মোঃ আঃ রাজ্জাক,৫৭০১৫৬৩৭৮২৩০,মোঃ জহের মল্লিক,মোছাঃ ফেলা,১৭/১০/১৯৬৯,কৃষক,"জালশুকা, গাংনী, মেহেরপুর"</t>
  </si>
  <si>
    <t>২১৭,মোঃ আশরাফুল আলম,৫৭০১৫৬৩৭৮২৩১,মোঃ ফজলুল হক,মোছাঃ রোকেয়া খাতুন,০১/০১/১৯৮৪,কৃষক,"জালশুকা, গাংনী, মেহেরপুর"</t>
  </si>
  <si>
    <t>২১৮,হামিদুর রহমান,৫৭০১৫৬৩৭৮২৩২,কায়েমালী,মোছাঃ ছমেলা খাতুন,২৩/০৯/১৯৬৪,কৃষক,"জালশুকা, গাংনী, মেহেরপুর"</t>
  </si>
  <si>
    <t>২১৯,মোঃ মতিয়ার রহমান,৫৭০১৫৬৩৭৮২৩৩,মোঃ আঃ আজিজ,মোছাঃ মনোয়ারা খাতুন,০৯/০৫/১৯৭৪,কৃষক,"জালশুকা, গাংনী, মেহেরপুর"</t>
  </si>
  <si>
    <t>২২০,মোঃ আঃ ওহাব,৫৭০১৫৬৩৭৮২৩৪,মফেজদ্দিন,মোছাঃ রাহেলা খাতুন,১০/০৭/১৯৭২,কৃষক,"জালশুকা, গাংনী, মেহেরপুর"</t>
  </si>
  <si>
    <t>২২১,মোঃ খাইরুল ইসলাম,৫৭০১৫৬৩৭৮২৩৬,মোঃ ফজল উদ্দীন,মোছাঃ আনোয়ারা খাতুন,০১/০৪/১৯৭০,কৃষক,"জালশুকা, গাংনী, মেহেরপুর"</t>
  </si>
  <si>
    <t>২২২,মোঃ বিল্লাল হোসেন,৫৭০১৫৬৩৭৮২৩৭,শওকত আলী,রমেলা খাতুন,০৯/০৯/১৯৭২,কৃষক,"জালশুকা, গাংনী, মেহেরপুর"</t>
  </si>
  <si>
    <t>২২৩,মোঃ কুতুব উদ্দীন,৫৭০১৫৬৩৭৮২৩৯,ছিয়ামদ্দিন,মোছাঃ নিহারন নেছা,০১/০৪/১৯৭১,কৃষক,"জালশুকা, গাংনী, মেহেরপুর"</t>
  </si>
  <si>
    <t>২২৪,মোঃ ছলেমান মন্ডল,৫৭০১৫৬৩৭৮২৪০,তৈইজদ্দিন,মোছাঃ সালেহার,২৯/০৬/১৯৩৭,কৃষক,"জালশুকা, গাংনী, মেহেরপুর"</t>
  </si>
  <si>
    <t>২২৫,মোঃ জামাত আলী,৫৭০১৫৬৩৭৮২৪২,মোঃ কোরবান মোল্লা,মোছাঃ হামিদা,০১/০১/১৯৮০,কৃষক,"জালশুকা, গাংনী, মেহেরপুর"</t>
  </si>
  <si>
    <t>২২৬,মোঃ শাবান আলী,৫৭০১৫৬৩৭৮২৪৪,মোঃ ফজলুল হক,মোছাঃ ফরিদা খাতুন,১০/০৯/১৯৭২,কৃষক,"জালশুকা, গাংনী, মেহেরপুর"</t>
  </si>
  <si>
    <t>২২৭,মোঃ আলেক চাঁদ,৫৭০১৫৬৩৭৮২৪৫,ইয়াকুব বিশ্বাস,মোছাঃ খাতেজান,০১/০১/১৯৬১,কৃষক,"জালশুকা, গাংনী, মেহেরপুর"</t>
  </si>
  <si>
    <t>২২৮,মোঃ সেন্টু মিয়া,৫৭০১৫৬৩৭৮২৪৬,মোঃ ছিতাপ আলী,মোছাঃ কহিনুর,১০/০২/১৯৮৬,কৃষক,"জালশুকা, গাংনী, মেহেরপুর"</t>
  </si>
  <si>
    <t>২২৯,মোঃ বিশারত আলী,৫৭০১৫৬৩৭৮২৪৯,মোঃ আস্তাব আলি,মোছাঃ গুলসানারা,০১/০১/১৯৮৩,কৃষক,"জালশুকা, গাংনী, মেহেরপুর"</t>
  </si>
  <si>
    <t>২৩০,মোঃ ওসমান আলী,৫৭০১৫৬৩৭৮২৫০,মোঃ উমিদ আলী,মোছাঃ বেদানা খাতুন,০১/০১/১৯৮৫,ব্যবসা,"জালশুকা, গাংনী, মেহেরপুর"</t>
  </si>
  <si>
    <t>২৩১,মোঃ আয়ুব আলী,৫৭০১৫৬৩৭৮২৫১,ছাবদাল বিশ্বাস,মোছাঃ রাহেলা খাতুন,৩০/০৪/১৯৬২,কৃষক,"জালশুকা মসজিদ পাড়া, গাংনী, মেহেরপুর"</t>
  </si>
  <si>
    <t>২৩২,মোঃ আব্দুস সাত্তার,৫৭০১৫৬৩৭৮২৫৫,মোঃ ছমিরদ্দিন,মোছাঃ সবজান,৩০/০৫/১৯৭৫,কৃষক,"জালশুকা, গাংনী, মেহেরপুর"</t>
  </si>
  <si>
    <t>২৩৩,মোঃ জহুরুল ইসলাম,৫৭০১৫৬৩৭৮২৫৭,মোঃ জসিরুদ্দীন,মোছাঃ হাজেরা বেগম,২৮/০৪/১৯৭৩,কৃষক,"জালশুকা, গাংনী, মেহেরপুর"</t>
  </si>
  <si>
    <t>২৩৪,মোঃ বিশারত আলী,৫৭০১৫৬৩৭৮২৫৮,আঃ খালেক,মোছাঃ সিয়াতন,০৪/০৯/১৯৭৫,কৃষক,"জালশুকা, গাংনী, মেহেরপুর"</t>
  </si>
  <si>
    <t>২৩৫,মোঃ আশরাফুল ইসলাম,৫৭০১৫৬৩৭৮২৬১,মোঃ আয়ুব আলী,মোছাঃ মর্জিনা খাতুন,০৫/০১/১৯৮৪,কৃষক,"জালশুকা মসজিদ পাড়া, গাংনী, মেহেরপুর"</t>
  </si>
  <si>
    <t>২৩৬,মোঃ আক্তার আলী,৫৭০১৫৬৩৭৮২৬২,আকবার বিশ্বাস,মোছাঃ খদেজা খাতুন,১৬/১১/১৯৮০,কৃষক,"জালশুকা মসজিদ পাড়া, গাংনী, মেহেরপুর"</t>
  </si>
  <si>
    <t>২৩৭,মোঃ নবিরুদ্দীন,৫৭০১৫৬৩৭৮২৬৩,আঃ জলিল,মোছাঃ রমেছা খাতুন,১২/০৮/১৯৪৭,কৃষক,"জালশুকা, গাংনী, মেহেরপুর"</t>
  </si>
  <si>
    <t>২৩৮,মোঃ মিলন আলী,৫৭০১৫৬৩৭৮২৬৪,মোঃ আয়ুব আলী,মোছাঃ মর্জিনা,১৭/১২/১৯৮৮,কৃষক,"জালশুকা, গাংনী, মেহেরপুর"</t>
  </si>
  <si>
    <t>২৩৯,মোঃ শুকুর আলী,৫৭০১৫৬৩৭৮২৬৯,খবিরুদ্দীন,আমিনা খাতুন,১৯/১২/১৯৫০,কৃষক,"জালশুকা মসজিদপাড়া, গাংনী, মেহেরপুর"</t>
  </si>
  <si>
    <t>২৪০,মোঃ জামির উদ্দীন,৫৭০১৫৬৩৭৮২৭০,কাইমালী মন্ডল,মোছাঃ ছমেলা খাতুন,০৯/০৭/১৯৫৭,কৃষক,"জালশুকা মসজিদ পাড়া, গাংনী, মেহেরপুর"</t>
  </si>
  <si>
    <t>২৪১,মোঃ উমিদ আলী,৫৭০১৫৬৩৭৮২৭৩,কাইমালী,মোছাঃ ছমেলা খাতুন,০৪/০৮/১৯৬৭,কৃষক,"জালশুকা, গাংনী, মেহেরপুর"</t>
  </si>
  <si>
    <t>২৪২,মোঃ শফিরুদ্দীন,৫৭০১৫৬৩৭৮২৭৪,তাহাজদ্দিন,মোছাঃ সফুরা খাতুন,১৭/০৯/১৯৫২,কৃষক,"জালশুকা মসজিদপাড়া, গাংনী, মেহেরপুর"</t>
  </si>
  <si>
    <t>২৪৩,মোঃ আবুল হোসেন,৫৭০১৫৬৩৭৮২৭৫,শফিরুদ্দীন,মোছাঃ সুবারন নেছা,২১/০৪/১৯৩৭,কৃষক,"জালশুকা মসজিদ পাড়া, গাংনী, মেহেরপুর"</t>
  </si>
  <si>
    <t>২৪৪,মোঃ রুহুল আমিন,৫৭০১৫৬৩৭৮২৭৭,মোঃ দিদার বক্স,মোছাঃ নজিরা খাতুন,১৯/০৩/১৯৬২,কৃষক,"জালশুকা মসজিদপাড়া, গাংনী, মেহেরপুর"</t>
  </si>
  <si>
    <t>২৪৫,মোঃ লিটন আলী,৫৭০১৫৬৩৭৮২৭৮,মোঃ আনসার মুন্সি,মোছাঃ ভানুয়ারা,২১/০৭/১৯৮৭,কৃষক,"জালশুকা মসজিদপাড়া, গাংনী, মেহেরপুর"</t>
  </si>
  <si>
    <t>২৪৬,মোঃ আলমগীর হোসেন,৫৭০১৫৬৩৭৮২৭৯,মোঃ হায়াত আলী,মোছাঃ আশান্নারা,২৫/০৫/১৯৮৩,কৃষক,"জালশুকা, গাংনী, মেহেরপুর"</t>
  </si>
  <si>
    <t>২৪৭,মোঃ তাহিরুদ্দীন,৫৭০১৫৬৩৭৮২৮১,তাহাজদ্দিন,সফুরা খাতুন,১৭/১১/১৯৬৯,কৃষক,"জালশুকা মসজিদপাড়া, গাংনী, মেহেরপুর"</t>
  </si>
  <si>
    <t>২৪৮,মোঃ হাফিজুর রহমান,৫৭০১৫৬৩৭৮২৮২,মোঃ লুতফর রহমান,মোছাঃ রাবিয়া বেগম,১৮/০৭/১৯৬৯,কৃষক,"জালশুকা মসজিদ পাড়া, গাংনী, মেহেরপুর"</t>
  </si>
  <si>
    <t>২৪৯,মোঃ বোল্টু মিয়া,৫৭০১৫৬৩৭৮২৮৪,মোঃ সিতাব মন্ডল,মোছাঃ কহিনুর বেগম,২২/০১/১৯৮০,কৃষক,"জালশুকা, গাংনী, মেহেরপুর"</t>
  </si>
  <si>
    <t>২৫০,মোঃ ভাষান আলী,৫৭০১৫৬৩৭৮২৮৬,মোঃ আকবর আলী,মোছাঃ মনোয়ারা,২২/০৫/১৯৭০,কৃষক,"জালশুকা, গাংনী, মেহেরপুর"</t>
  </si>
  <si>
    <t>২৫১,মোঃ রুহুল আমিন,৫৭০১৫৬৩৭৮২৮৭,মোঃ আবুল হোসেন,মোছাঃ ঈশারন নেছা,০২/০৫/১৯৬৭,কৃষক,"জালশুকা মসজিদ পাড়া, গাংনী, মেহেরপুর"</t>
  </si>
  <si>
    <t>২৫২,মোঃ নাসির উদ্দীন,৫৭০১৫৬৩৭৮২৯১,মোঃ তাহাজদ্দিন,মোছাঃ সফুরা খাতুন,০৫/০৯/১৯৬৬,কৃষক,"জালশুকা, গাংনী, মেহেরপুর"</t>
  </si>
  <si>
    <t>২৫৩,মোঃ মজিবর মন্ডল,৫৭০১৫৬৩৭৮২৯৩,মফেজ উদ্দীন,বছিরন নেছা,০৫/০৯/১৯২৭,কৃষক,"জালশুকা, গাংনী, মেহেরপুর"</t>
  </si>
  <si>
    <t>২৫৪,মোঃ আঃ গফুর মন্ডল,৫৭০১৫৬৩৭৮২৯৪,মোঃ গোলাম রসুল মন্ডল,মোছাঃ জহুরা খাতুন,০৩/০৮/১৯৭২,কৃষক,"জালশুকা মসজিদ পাড়া, গাংনী, মেহেরপুর"</t>
  </si>
  <si>
    <t>২৫৫,মোঃ বাদশা বুলবুল,৫৭০১৫৬৩৭৮২৯৮,মোঃ আমিনুল ইসলাম,মোছাঃ ছালেহা খাতুন,১৯/০৮/১৯৮৮,কৃষক,"জালশুকা উত্তর পাড়া, গাংনী, মেহেরপুর"</t>
  </si>
  <si>
    <t>২৫৬,মোঃ আবুল কাশেম,৫৭০১৫৬৩৭৮৩০৩,মোহাঃ আব্দুল আজিজ,মোছাঃ রোকেয়া খাতুন,১২/১০/১৯৬৪,দিনমজুর,"জালশুকা, গাংনী, মেহেরপুর"</t>
  </si>
  <si>
    <t>২৫৭,মোঃ আবুল হাশেম,৫৭০১৫৬৩৭৮৩০৫,মোহাঃ আব্দুল আজিজ,মোছাঃ রোকেয়া,১২/১০/১৯৬৬,দিনমজুর,"জালশুকা, গাংনী, মেহেরপুর"</t>
  </si>
  <si>
    <t>২৫৮,মোহাঃ তহিদুল,৫৭০১৫৬৩৭৮৩০৭,মোহাঃ আবুল কাশেম,মোছাঃ মুর্শিদা,০১/০৭/১৯৮৭,দিনমজুর,"জালশুকা, গাংনী, মেহেরপুর"</t>
  </si>
  <si>
    <t>২৫৯,মোহাঃ জিনারুল,৫৭০১৫৬৩৭৮৩১০,মোহাঃ মোজামেল হক,মোছাঃ আনজিরা খাতুন,১২/১০/১৯৮২,দিনমজুর,"জালশুকা, গাংনী, মেহেরপুর"</t>
  </si>
  <si>
    <t>২৬০,মোঃ আব্দুল কাদের,৫৭০১৫৬৩৭৮৩১২,রুস্তম মন্ডল,মোছাঃ তিতু বিবি,১০/০৩/১৯৬২,দিনমজুর,"জালশুকা, গাংনী, মেহেরপুর"</t>
  </si>
  <si>
    <t>২৬১,মোহাঃ বাবর আলি,৫৭০১৫৬৩৭৮৩১৪,আব্দুল বারি,মোছাঃ সাহার বান,১০/০৩/১৯৭৭,দিনমজুর,"জালশুকা, গাংনী, মেহেরপুর"</t>
  </si>
  <si>
    <t>২৬২,মোঃ শরিফ উদ্দীন,৫৭০১৫৬৩৭৮৩১৭,মোহাঃ আব্দুল বারি,মোছাঃ সাহার বানু,০৫/১১/১৯৮৭,কৃষক,"জালশুকা, গাংনী, মেহেরপুর"</t>
  </si>
  <si>
    <t>২৬৩,মোঃ আব্দুল বারী,৫৭০১৫৬৩৭৮৩১৯,সিরাজ সর্দ্দার,ফুলমতি,০৪/০৫/১৯৫৮,অন্যান্য,"জালশুকা, গাংনী, মেহেরপুর"</t>
  </si>
  <si>
    <t>২৬৪,মোঃ আব্দুল মালেক,৫৭০১৫৬৩৭৮৩২১,আবুবক্কর,হালিমা,১১/১০/১৯৬৭,কৃষক,"জালশুকা, গাংনী, মেহেরপুর"</t>
  </si>
  <si>
    <t>২৬৫,মোহাঃ আরশেদ আলি,৫৭০১৫৬৩৭৮৩২৩,মোহাঃ আয়ুব আলি,মোছাঃ মর্জিনা খাতুন,০৫/১২/১৯৮৬,দিনমজুর,"জালশুকা, গাংনী, মেহেরপুর"</t>
  </si>
  <si>
    <t>২৬৬,মোহাঃ এনামুল হক,৫৭০১৫৬৩৭৮৩২৪,মোহাঃ ফাকের আলি,মোছাঃ আজিরন,০৭/০১/১৯৬৮,কৃষক,"জালশুকা, গাংনী, মেহেরপুর"</t>
  </si>
  <si>
    <t>২৬৭,মোহাঃ শফিকুল ইসলাম,৫৭০১৫৬৩৭৮৩২৬,আব্দুল জলিল,মোছাঃ তহুরা খাতুন,০২/০৭/১৯৪৬,কৃষক,"জালশুকা, গাংনী, মেহেরপুর"</t>
  </si>
  <si>
    <t>মোছা: ফিরোজা খাতুন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</si>
</sst>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1F1F1F"/>
      <name val="Google Sans Text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38"/>
    <col customWidth="1" min="2" max="2" width="14.88"/>
    <col customWidth="1" min="3" max="3" width="19.88"/>
    <col customWidth="1" min="4" max="4" width="20.38"/>
    <col customWidth="1" min="5" max="5" width="19.75"/>
    <col customWidth="1" min="6" max="8" width="14.38"/>
    <col customWidth="1" min="9" max="9" width="15.0"/>
    <col customWidth="1" min="10" max="10" width="3.88"/>
    <col customWidth="1" min="11" max="26" width="14.38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/>
      <c r="J1" s="3"/>
      <c r="K1" s="3"/>
      <c r="L1" s="3"/>
      <c r="M1" s="3"/>
      <c r="N1" s="3"/>
      <c r="O1" s="3"/>
      <c r="P1" s="3"/>
      <c r="Q1" s="3"/>
    </row>
    <row r="2" ht="15.75" customHeight="1">
      <c r="A2" s="4">
        <v>1.0</v>
      </c>
      <c r="B2" s="1" t="s">
        <v>8</v>
      </c>
      <c r="C2" s="1" t="s">
        <v>9</v>
      </c>
      <c r="D2" s="2" t="s">
        <v>10</v>
      </c>
      <c r="E2" s="4">
        <v>5.70056375662E11</v>
      </c>
      <c r="F2" s="1" t="s">
        <v>11</v>
      </c>
      <c r="G2" s="1" t="s">
        <v>12</v>
      </c>
      <c r="H2" s="5" t="s">
        <v>13</v>
      </c>
      <c r="I2" s="3"/>
      <c r="J2" s="3"/>
      <c r="K2" s="3"/>
      <c r="L2" s="3"/>
      <c r="M2" s="3"/>
      <c r="N2" s="3"/>
      <c r="O2" s="3"/>
      <c r="P2" s="3"/>
      <c r="Q2" s="3"/>
    </row>
    <row r="3" ht="15.75" customHeight="1">
      <c r="A3" s="4">
        <v>2.0</v>
      </c>
      <c r="B3" s="1" t="s">
        <v>14</v>
      </c>
      <c r="C3" s="1" t="s">
        <v>15</v>
      </c>
      <c r="D3" s="2" t="s">
        <v>16</v>
      </c>
      <c r="E3" s="4">
        <v>5.70056376533E11</v>
      </c>
      <c r="F3" s="1" t="s">
        <v>17</v>
      </c>
      <c r="G3" s="1" t="s">
        <v>12</v>
      </c>
      <c r="H3" s="5" t="s">
        <v>13</v>
      </c>
      <c r="I3" s="3"/>
      <c r="J3" s="3"/>
      <c r="K3" s="3"/>
      <c r="L3" s="3"/>
      <c r="M3" s="3"/>
      <c r="N3" s="3"/>
      <c r="O3" s="3"/>
      <c r="P3" s="3"/>
      <c r="Q3" s="3"/>
    </row>
    <row r="4" ht="15.75" customHeight="1">
      <c r="A4" s="6">
        <v>3.0</v>
      </c>
      <c r="B4" s="7" t="s">
        <v>18</v>
      </c>
      <c r="C4" s="1"/>
      <c r="D4" s="2"/>
      <c r="E4" s="4"/>
      <c r="F4" s="1"/>
      <c r="G4" s="1"/>
      <c r="H4" s="5"/>
      <c r="I4" s="3"/>
      <c r="J4" s="3"/>
      <c r="K4" s="3"/>
      <c r="L4" s="3"/>
      <c r="M4" s="3"/>
      <c r="N4" s="3"/>
      <c r="O4" s="3"/>
      <c r="P4" s="3"/>
      <c r="Q4" s="3"/>
    </row>
    <row r="5" ht="15.75" customHeight="1">
      <c r="A5" s="8">
        <v>4.0</v>
      </c>
      <c r="B5" s="1" t="s">
        <v>19</v>
      </c>
      <c r="C5" s="1" t="s">
        <v>20</v>
      </c>
      <c r="D5" s="2" t="s">
        <v>21</v>
      </c>
      <c r="E5" s="4">
        <v>5.70056376538E11</v>
      </c>
      <c r="F5" s="1" t="s">
        <v>22</v>
      </c>
      <c r="G5" s="1" t="s">
        <v>12</v>
      </c>
      <c r="H5" s="5" t="s">
        <v>13</v>
      </c>
      <c r="I5" s="3"/>
      <c r="J5" s="3"/>
      <c r="K5" s="3"/>
      <c r="L5" s="3"/>
      <c r="M5" s="3"/>
      <c r="N5" s="3"/>
      <c r="O5" s="3"/>
      <c r="P5" s="3"/>
      <c r="Q5" s="3"/>
    </row>
    <row r="6" ht="15.75" customHeight="1">
      <c r="A6" s="4">
        <v>5.0</v>
      </c>
      <c r="B6" s="1" t="s">
        <v>23</v>
      </c>
      <c r="C6" s="1" t="s">
        <v>24</v>
      </c>
      <c r="D6" s="2" t="s">
        <v>25</v>
      </c>
      <c r="E6" s="4">
        <v>5.70056376544E11</v>
      </c>
      <c r="F6" s="1" t="s">
        <v>26</v>
      </c>
      <c r="G6" s="1" t="s">
        <v>27</v>
      </c>
      <c r="H6" s="5" t="s">
        <v>28</v>
      </c>
      <c r="I6" s="3"/>
      <c r="J6" s="3"/>
      <c r="K6" s="3"/>
      <c r="L6" s="3"/>
      <c r="M6" s="3"/>
      <c r="N6" s="3"/>
      <c r="O6" s="3"/>
      <c r="P6" s="3"/>
      <c r="Q6" s="3"/>
    </row>
    <row r="7" ht="15.75" customHeight="1">
      <c r="A7" s="4">
        <v>6.0</v>
      </c>
      <c r="B7" s="7" t="s">
        <v>29</v>
      </c>
      <c r="C7" s="9" t="s">
        <v>30</v>
      </c>
      <c r="D7" s="2" t="s">
        <v>31</v>
      </c>
      <c r="E7" s="4">
        <v>5.70056376977E11</v>
      </c>
      <c r="F7" s="1" t="s">
        <v>32</v>
      </c>
      <c r="G7" s="1" t="s">
        <v>12</v>
      </c>
      <c r="H7" s="5" t="s">
        <v>13</v>
      </c>
      <c r="I7" s="3"/>
      <c r="J7" s="3"/>
      <c r="K7" s="3"/>
      <c r="L7" s="3"/>
      <c r="M7" s="3"/>
      <c r="N7" s="3"/>
      <c r="O7" s="3"/>
      <c r="P7" s="3"/>
      <c r="Q7" s="3"/>
    </row>
    <row r="8" ht="15.75" customHeight="1">
      <c r="A8" s="4">
        <v>7.0</v>
      </c>
      <c r="B8" s="1" t="s">
        <v>33</v>
      </c>
      <c r="C8" s="1" t="s">
        <v>34</v>
      </c>
      <c r="D8" s="2" t="s">
        <v>35</v>
      </c>
      <c r="E8" s="4">
        <v>5.70056376946E11</v>
      </c>
      <c r="F8" s="1" t="s">
        <v>36</v>
      </c>
      <c r="G8" s="1" t="s">
        <v>37</v>
      </c>
      <c r="H8" s="5" t="s">
        <v>13</v>
      </c>
      <c r="I8" s="3"/>
      <c r="J8" s="3"/>
      <c r="K8" s="3"/>
      <c r="L8" s="3"/>
      <c r="M8" s="3"/>
      <c r="N8" s="3"/>
      <c r="O8" s="3"/>
      <c r="P8" s="3"/>
      <c r="Q8" s="3"/>
    </row>
    <row r="9" ht="15.75" customHeight="1">
      <c r="A9" s="4">
        <v>8.0</v>
      </c>
      <c r="B9" s="1" t="s">
        <v>38</v>
      </c>
      <c r="C9" s="7" t="s">
        <v>39</v>
      </c>
      <c r="D9" s="2" t="s">
        <v>40</v>
      </c>
      <c r="E9" s="4">
        <v>5.70056377206E11</v>
      </c>
      <c r="F9" s="1" t="s">
        <v>41</v>
      </c>
      <c r="G9" s="1" t="s">
        <v>12</v>
      </c>
      <c r="H9" s="5" t="s">
        <v>13</v>
      </c>
      <c r="I9" s="3"/>
      <c r="J9" s="3"/>
      <c r="K9" s="3"/>
      <c r="L9" s="3"/>
      <c r="M9" s="3"/>
      <c r="N9" s="3"/>
      <c r="O9" s="3"/>
      <c r="P9" s="3"/>
      <c r="Q9" s="3"/>
    </row>
    <row r="10" ht="15.75" customHeight="1">
      <c r="A10" s="6">
        <v>9.0</v>
      </c>
      <c r="B10" s="7" t="s">
        <v>18</v>
      </c>
      <c r="C10" s="1"/>
      <c r="D10" s="2"/>
      <c r="E10" s="4"/>
      <c r="F10" s="1"/>
      <c r="G10" s="1"/>
      <c r="H10" s="5"/>
      <c r="I10" s="3"/>
      <c r="J10" s="3"/>
      <c r="K10" s="3"/>
      <c r="L10" s="3"/>
      <c r="M10" s="3"/>
      <c r="N10" s="3"/>
      <c r="O10" s="3"/>
      <c r="P10" s="3"/>
      <c r="Q10" s="3"/>
    </row>
    <row r="11" ht="15.75" customHeight="1">
      <c r="A11" s="4">
        <v>10.0</v>
      </c>
      <c r="B11" s="1" t="s">
        <v>42</v>
      </c>
      <c r="C11" s="1" t="s">
        <v>43</v>
      </c>
      <c r="D11" s="2" t="s">
        <v>44</v>
      </c>
      <c r="E11" s="4">
        <v>5.7005637721E11</v>
      </c>
      <c r="F11" s="1" t="s">
        <v>45</v>
      </c>
      <c r="G11" s="1" t="s">
        <v>12</v>
      </c>
      <c r="H11" s="5" t="s">
        <v>13</v>
      </c>
      <c r="I11" s="3"/>
      <c r="J11" s="3"/>
      <c r="K11" s="3"/>
      <c r="L11" s="3"/>
      <c r="M11" s="3"/>
      <c r="N11" s="3"/>
      <c r="O11" s="3"/>
      <c r="P11" s="3"/>
      <c r="Q11" s="3"/>
    </row>
    <row r="12" ht="15.75" customHeight="1">
      <c r="A12" s="8">
        <v>11.0</v>
      </c>
      <c r="B12" s="1" t="s">
        <v>46</v>
      </c>
      <c r="C12" s="1" t="s">
        <v>47</v>
      </c>
      <c r="D12" s="2" t="s">
        <v>48</v>
      </c>
      <c r="E12" s="4">
        <v>5.70056377211E11</v>
      </c>
      <c r="F12" s="1" t="s">
        <v>49</v>
      </c>
      <c r="G12" s="1" t="s">
        <v>50</v>
      </c>
      <c r="H12" s="5" t="s">
        <v>13</v>
      </c>
      <c r="I12" s="3"/>
      <c r="J12" s="3"/>
      <c r="K12" s="3"/>
      <c r="L12" s="3"/>
      <c r="M12" s="3"/>
      <c r="N12" s="3"/>
      <c r="O12" s="3"/>
      <c r="P12" s="3"/>
      <c r="Q12" s="3"/>
    </row>
    <row r="13" ht="15.75" customHeight="1">
      <c r="A13" s="4">
        <v>12.0</v>
      </c>
      <c r="B13" s="1" t="s">
        <v>51</v>
      </c>
      <c r="C13" s="1" t="s">
        <v>52</v>
      </c>
      <c r="D13" s="2" t="s">
        <v>53</v>
      </c>
      <c r="E13" s="4">
        <v>5.70056377212E11</v>
      </c>
      <c r="F13" s="1" t="s">
        <v>54</v>
      </c>
      <c r="G13" s="1" t="s">
        <v>37</v>
      </c>
      <c r="H13" s="5" t="s">
        <v>13</v>
      </c>
      <c r="I13" s="3"/>
      <c r="J13" s="3"/>
      <c r="K13" s="3"/>
      <c r="L13" s="3"/>
      <c r="M13" s="3"/>
      <c r="N13" s="3"/>
      <c r="O13" s="3"/>
      <c r="P13" s="3"/>
      <c r="Q13" s="3"/>
    </row>
    <row r="14" ht="15.75" customHeight="1">
      <c r="A14" s="4">
        <v>13.0</v>
      </c>
      <c r="B14" s="1" t="s">
        <v>55</v>
      </c>
      <c r="C14" s="1" t="s">
        <v>56</v>
      </c>
      <c r="D14" s="2" t="s">
        <v>57</v>
      </c>
      <c r="E14" s="4">
        <v>5.70056377213E11</v>
      </c>
      <c r="F14" s="1" t="s">
        <v>41</v>
      </c>
      <c r="G14" s="1" t="s">
        <v>12</v>
      </c>
      <c r="H14" s="5" t="s">
        <v>13</v>
      </c>
      <c r="I14" s="3"/>
      <c r="J14" s="3"/>
      <c r="K14" s="3"/>
      <c r="L14" s="3"/>
      <c r="M14" s="3"/>
      <c r="N14" s="3"/>
      <c r="O14" s="3"/>
      <c r="P14" s="3"/>
      <c r="Q14" s="3"/>
    </row>
    <row r="15" ht="15.75" customHeight="1">
      <c r="A15" s="4">
        <v>14.0</v>
      </c>
      <c r="B15" s="9" t="s">
        <v>58</v>
      </c>
      <c r="C15" s="1" t="s">
        <v>59</v>
      </c>
      <c r="D15" s="2" t="s">
        <v>60</v>
      </c>
      <c r="E15" s="4">
        <v>5.70056377214E11</v>
      </c>
      <c r="F15" s="1" t="s">
        <v>61</v>
      </c>
      <c r="G15" s="1" t="s">
        <v>62</v>
      </c>
      <c r="H15" s="5" t="s">
        <v>13</v>
      </c>
      <c r="I15" s="3"/>
      <c r="J15" s="3"/>
      <c r="K15" s="3"/>
      <c r="L15" s="3"/>
      <c r="M15" s="3"/>
      <c r="N15" s="3"/>
      <c r="O15" s="3"/>
      <c r="P15" s="3"/>
      <c r="Q15" s="3"/>
    </row>
    <row r="16" ht="15.75" customHeight="1">
      <c r="A16" s="4">
        <v>15.0</v>
      </c>
      <c r="B16" s="1" t="s">
        <v>59</v>
      </c>
      <c r="C16" s="1" t="s">
        <v>63</v>
      </c>
      <c r="D16" s="2" t="s">
        <v>64</v>
      </c>
      <c r="E16" s="4">
        <v>5.70056377216E11</v>
      </c>
      <c r="F16" s="1" t="s">
        <v>65</v>
      </c>
      <c r="G16" s="1" t="s">
        <v>12</v>
      </c>
      <c r="H16" s="5" t="s">
        <v>13</v>
      </c>
      <c r="I16" s="3"/>
      <c r="J16" s="3"/>
      <c r="K16" s="3"/>
      <c r="L16" s="3"/>
      <c r="M16" s="3"/>
      <c r="N16" s="3"/>
      <c r="O16" s="3"/>
      <c r="P16" s="3"/>
      <c r="Q16" s="3"/>
    </row>
    <row r="17" ht="15.75" customHeight="1">
      <c r="A17" s="10">
        <v>16.0</v>
      </c>
      <c r="B17" s="3" t="s">
        <v>66</v>
      </c>
      <c r="C17" s="3" t="s">
        <v>67</v>
      </c>
      <c r="D17" s="11" t="s">
        <v>68</v>
      </c>
      <c r="E17" s="10">
        <v>5.70056377218E11</v>
      </c>
      <c r="F17" s="3" t="s">
        <v>69</v>
      </c>
      <c r="G17" s="3" t="s">
        <v>12</v>
      </c>
      <c r="H17" s="3" t="s">
        <v>70</v>
      </c>
      <c r="I17" s="3" t="s">
        <v>71</v>
      </c>
      <c r="J17" s="12" t="s">
        <v>72</v>
      </c>
      <c r="K17" s="3"/>
      <c r="L17" s="3"/>
      <c r="M17" s="3"/>
      <c r="N17" s="3"/>
      <c r="O17" s="3"/>
      <c r="P17" s="3"/>
      <c r="Q17" s="3"/>
    </row>
    <row r="18" ht="15.75" customHeight="1">
      <c r="A18" s="10">
        <v>17.0</v>
      </c>
      <c r="B18" s="3" t="s">
        <v>9</v>
      </c>
      <c r="C18" s="3" t="s">
        <v>73</v>
      </c>
      <c r="D18" s="11" t="s">
        <v>74</v>
      </c>
      <c r="E18" s="10">
        <v>5.70056377219E11</v>
      </c>
      <c r="F18" s="3" t="s">
        <v>75</v>
      </c>
      <c r="G18" s="3" t="s">
        <v>12</v>
      </c>
      <c r="H18" s="3" t="s">
        <v>70</v>
      </c>
      <c r="I18" s="3" t="s">
        <v>71</v>
      </c>
      <c r="J18" s="12" t="s">
        <v>72</v>
      </c>
      <c r="K18" s="3"/>
      <c r="L18" s="3"/>
      <c r="M18" s="3"/>
      <c r="N18" s="3"/>
      <c r="O18" s="3"/>
      <c r="P18" s="3"/>
      <c r="Q18" s="3"/>
    </row>
    <row r="19" ht="15.75" customHeight="1">
      <c r="A19" s="10">
        <v>18.0</v>
      </c>
      <c r="B19" s="3" t="s">
        <v>76</v>
      </c>
      <c r="C19" s="3" t="s">
        <v>39</v>
      </c>
      <c r="D19" s="11" t="s">
        <v>77</v>
      </c>
      <c r="E19" s="10">
        <v>5.70056377221E11</v>
      </c>
      <c r="F19" s="3" t="s">
        <v>78</v>
      </c>
      <c r="G19" s="3" t="s">
        <v>12</v>
      </c>
      <c r="H19" s="3" t="s">
        <v>70</v>
      </c>
      <c r="I19" s="3" t="s">
        <v>71</v>
      </c>
      <c r="J19" s="12" t="s">
        <v>72</v>
      </c>
      <c r="K19" s="3"/>
      <c r="L19" s="3"/>
      <c r="M19" s="3"/>
      <c r="N19" s="3"/>
      <c r="O19" s="3"/>
      <c r="P19" s="3"/>
      <c r="Q19" s="3"/>
    </row>
    <row r="20" ht="15.75" customHeight="1">
      <c r="A20" s="10">
        <v>19.0</v>
      </c>
      <c r="B20" s="3" t="s">
        <v>79</v>
      </c>
      <c r="C20" s="3" t="s">
        <v>80</v>
      </c>
      <c r="D20" s="11" t="s">
        <v>81</v>
      </c>
      <c r="E20" s="10">
        <v>5.70056377222E11</v>
      </c>
      <c r="F20" s="3" t="s">
        <v>82</v>
      </c>
      <c r="G20" s="3" t="s">
        <v>50</v>
      </c>
      <c r="H20" s="3" t="s">
        <v>70</v>
      </c>
      <c r="I20" s="3" t="s">
        <v>71</v>
      </c>
      <c r="J20" s="12" t="s">
        <v>72</v>
      </c>
      <c r="K20" s="3"/>
      <c r="L20" s="3"/>
      <c r="M20" s="3"/>
      <c r="N20" s="3"/>
      <c r="O20" s="3"/>
      <c r="P20" s="3"/>
      <c r="Q20" s="3"/>
    </row>
    <row r="21" ht="15.75" customHeight="1">
      <c r="A21" s="10">
        <v>20.0</v>
      </c>
      <c r="B21" s="3" t="s">
        <v>83</v>
      </c>
      <c r="C21" s="3" t="s">
        <v>84</v>
      </c>
      <c r="D21" s="11" t="s">
        <v>68</v>
      </c>
      <c r="E21" s="10">
        <v>5.70056377225E11</v>
      </c>
      <c r="F21" s="3" t="s">
        <v>85</v>
      </c>
      <c r="G21" s="3" t="s">
        <v>12</v>
      </c>
      <c r="H21" s="3" t="s">
        <v>70</v>
      </c>
      <c r="I21" s="3" t="s">
        <v>71</v>
      </c>
      <c r="J21" s="12" t="s">
        <v>72</v>
      </c>
      <c r="K21" s="3"/>
      <c r="L21" s="3"/>
      <c r="M21" s="3"/>
      <c r="N21" s="3"/>
      <c r="O21" s="3"/>
      <c r="P21" s="3"/>
      <c r="Q21" s="3"/>
    </row>
    <row r="22" ht="15.75" customHeight="1">
      <c r="A22" s="10">
        <v>21.0</v>
      </c>
      <c r="B22" s="3" t="s">
        <v>86</v>
      </c>
      <c r="C22" s="3" t="s">
        <v>87</v>
      </c>
      <c r="D22" s="11" t="s">
        <v>88</v>
      </c>
      <c r="E22" s="10">
        <v>5.70056377227E11</v>
      </c>
      <c r="F22" s="3" t="s">
        <v>78</v>
      </c>
      <c r="G22" s="3" t="s">
        <v>12</v>
      </c>
      <c r="H22" s="3" t="s">
        <v>70</v>
      </c>
      <c r="I22" s="3" t="s">
        <v>71</v>
      </c>
      <c r="J22" s="12" t="s">
        <v>89</v>
      </c>
      <c r="K22" s="3"/>
      <c r="L22" s="3"/>
      <c r="M22" s="3"/>
      <c r="N22" s="3"/>
      <c r="O22" s="3"/>
      <c r="P22" s="3"/>
      <c r="Q22" s="3"/>
    </row>
    <row r="23" ht="15.75" customHeight="1">
      <c r="A23" s="10">
        <v>22.0</v>
      </c>
      <c r="B23" s="3" t="s">
        <v>90</v>
      </c>
      <c r="C23" s="3" t="s">
        <v>73</v>
      </c>
      <c r="D23" s="11" t="s">
        <v>74</v>
      </c>
      <c r="E23" s="10">
        <v>5.70056377231E11</v>
      </c>
      <c r="F23" s="3" t="s">
        <v>91</v>
      </c>
      <c r="G23" s="3" t="s">
        <v>12</v>
      </c>
      <c r="H23" s="3" t="s">
        <v>70</v>
      </c>
      <c r="I23" s="3" t="s">
        <v>71</v>
      </c>
      <c r="J23" s="12" t="s">
        <v>72</v>
      </c>
      <c r="K23" s="3"/>
      <c r="L23" s="3"/>
      <c r="M23" s="3"/>
      <c r="N23" s="3"/>
      <c r="O23" s="3"/>
      <c r="P23" s="3"/>
      <c r="Q23" s="3"/>
    </row>
    <row r="24" ht="15.75" customHeight="1">
      <c r="A24" s="10">
        <v>23.0</v>
      </c>
      <c r="B24" s="3" t="s">
        <v>92</v>
      </c>
      <c r="C24" s="3" t="s">
        <v>93</v>
      </c>
      <c r="D24" s="11" t="s">
        <v>94</v>
      </c>
      <c r="E24" s="10">
        <v>5.70056377232E11</v>
      </c>
      <c r="F24" s="3" t="s">
        <v>95</v>
      </c>
      <c r="G24" s="3" t="s">
        <v>96</v>
      </c>
      <c r="H24" s="3" t="s">
        <v>70</v>
      </c>
      <c r="I24" s="3" t="s">
        <v>71</v>
      </c>
      <c r="J24" s="12" t="s">
        <v>72</v>
      </c>
      <c r="K24" s="3"/>
      <c r="L24" s="3"/>
      <c r="M24" s="3"/>
      <c r="N24" s="3"/>
      <c r="O24" s="3"/>
      <c r="P24" s="3"/>
      <c r="Q24" s="3" t="s">
        <v>97</v>
      </c>
    </row>
    <row r="25" ht="15.75" customHeight="1">
      <c r="A25" s="10">
        <v>24.0</v>
      </c>
      <c r="B25" s="3" t="s">
        <v>98</v>
      </c>
      <c r="C25" s="3" t="s">
        <v>99</v>
      </c>
      <c r="D25" s="11" t="s">
        <v>100</v>
      </c>
      <c r="E25" s="10">
        <v>5.7005637724E11</v>
      </c>
      <c r="F25" s="3" t="s">
        <v>101</v>
      </c>
      <c r="G25" s="3" t="s">
        <v>62</v>
      </c>
      <c r="H25" s="3" t="s">
        <v>70</v>
      </c>
      <c r="I25" s="3" t="s">
        <v>71</v>
      </c>
      <c r="J25" s="12" t="s">
        <v>72</v>
      </c>
      <c r="K25" s="3"/>
      <c r="L25" s="3"/>
      <c r="M25" s="3"/>
      <c r="N25" s="3"/>
      <c r="O25" s="3"/>
      <c r="P25" s="3"/>
      <c r="Q25" s="3" t="s">
        <v>97</v>
      </c>
    </row>
    <row r="26" ht="15.75" customHeight="1">
      <c r="A26" s="10">
        <v>25.0</v>
      </c>
      <c r="B26" s="3" t="s">
        <v>102</v>
      </c>
      <c r="C26" s="3" t="s">
        <v>103</v>
      </c>
      <c r="D26" s="11" t="s">
        <v>104</v>
      </c>
      <c r="E26" s="10">
        <v>5.70056377242E11</v>
      </c>
      <c r="F26" s="3" t="s">
        <v>105</v>
      </c>
      <c r="G26" s="3" t="s">
        <v>12</v>
      </c>
      <c r="H26" s="3" t="s">
        <v>70</v>
      </c>
      <c r="I26" s="3" t="s">
        <v>71</v>
      </c>
      <c r="J26" s="12" t="s">
        <v>72</v>
      </c>
      <c r="K26" s="3"/>
      <c r="L26" s="3"/>
      <c r="M26" s="3"/>
      <c r="N26" s="3"/>
      <c r="O26" s="3"/>
      <c r="P26" s="3"/>
      <c r="Q26" s="3" t="s">
        <v>97</v>
      </c>
    </row>
    <row r="27" ht="15.75" customHeight="1">
      <c r="A27" s="10">
        <v>26.0</v>
      </c>
      <c r="B27" s="3" t="s">
        <v>106</v>
      </c>
      <c r="C27" s="3" t="s">
        <v>107</v>
      </c>
      <c r="D27" s="11" t="s">
        <v>100</v>
      </c>
      <c r="E27" s="10">
        <v>5.70056377245E11</v>
      </c>
      <c r="F27" s="3" t="s">
        <v>108</v>
      </c>
      <c r="G27" s="3" t="s">
        <v>12</v>
      </c>
      <c r="H27" s="3" t="s">
        <v>70</v>
      </c>
      <c r="I27" s="3" t="s">
        <v>71</v>
      </c>
      <c r="J27" s="12" t="s">
        <v>72</v>
      </c>
      <c r="K27" s="3"/>
      <c r="L27" s="3"/>
      <c r="M27" s="3"/>
      <c r="N27" s="3"/>
      <c r="O27" s="3"/>
      <c r="P27" s="3"/>
      <c r="Q27" s="3" t="s">
        <v>97</v>
      </c>
    </row>
    <row r="28" ht="15.75" customHeight="1">
      <c r="A28" s="10">
        <v>27.0</v>
      </c>
      <c r="B28" s="3" t="s">
        <v>109</v>
      </c>
      <c r="C28" s="3" t="s">
        <v>9</v>
      </c>
      <c r="D28" s="11" t="s">
        <v>35</v>
      </c>
      <c r="E28" s="10">
        <v>5.70056377246E11</v>
      </c>
      <c r="F28" s="3" t="s">
        <v>110</v>
      </c>
      <c r="G28" s="3" t="s">
        <v>12</v>
      </c>
      <c r="H28" s="3" t="s">
        <v>70</v>
      </c>
      <c r="I28" s="3" t="s">
        <v>71</v>
      </c>
      <c r="J28" s="12" t="s">
        <v>72</v>
      </c>
      <c r="K28" s="3"/>
      <c r="L28" s="3"/>
      <c r="M28" s="3"/>
      <c r="N28" s="3"/>
      <c r="O28" s="3"/>
      <c r="P28" s="3"/>
      <c r="Q28" s="3" t="s">
        <v>97</v>
      </c>
    </row>
    <row r="29" ht="15.75" customHeight="1">
      <c r="A29" s="10">
        <v>28.0</v>
      </c>
      <c r="B29" s="3" t="s">
        <v>111</v>
      </c>
      <c r="C29" s="3" t="s">
        <v>112</v>
      </c>
      <c r="D29" s="11" t="s">
        <v>113</v>
      </c>
      <c r="E29" s="10">
        <v>5.70056377247E11</v>
      </c>
      <c r="F29" s="3" t="s">
        <v>114</v>
      </c>
      <c r="G29" s="3" t="s">
        <v>12</v>
      </c>
      <c r="H29" s="3" t="s">
        <v>70</v>
      </c>
      <c r="I29" s="3" t="s">
        <v>71</v>
      </c>
      <c r="J29" s="12" t="s">
        <v>72</v>
      </c>
      <c r="K29" s="3"/>
      <c r="L29" s="3"/>
      <c r="M29" s="3"/>
      <c r="N29" s="3"/>
      <c r="O29" s="3"/>
      <c r="P29" s="3"/>
      <c r="Q29" s="3" t="s">
        <v>97</v>
      </c>
    </row>
    <row r="30" ht="15.75" customHeight="1">
      <c r="A30" s="10">
        <v>29.0</v>
      </c>
      <c r="B30" s="3" t="s">
        <v>47</v>
      </c>
      <c r="C30" s="3" t="s">
        <v>9</v>
      </c>
      <c r="D30" s="11" t="s">
        <v>35</v>
      </c>
      <c r="E30" s="10">
        <v>5.70056377248E11</v>
      </c>
      <c r="F30" s="3" t="s">
        <v>115</v>
      </c>
      <c r="G30" s="3" t="s">
        <v>12</v>
      </c>
      <c r="H30" s="3" t="s">
        <v>70</v>
      </c>
      <c r="I30" s="3" t="s">
        <v>71</v>
      </c>
      <c r="J30" s="12" t="s">
        <v>89</v>
      </c>
      <c r="K30" s="3"/>
      <c r="L30" s="3"/>
      <c r="M30" s="3"/>
      <c r="N30" s="3"/>
      <c r="O30" s="3"/>
      <c r="P30" s="3"/>
      <c r="Q30" s="3"/>
    </row>
    <row r="31" ht="15.75" customHeight="1">
      <c r="A31" s="10">
        <v>30.0</v>
      </c>
      <c r="B31" s="3" t="s">
        <v>116</v>
      </c>
      <c r="C31" s="3" t="s">
        <v>117</v>
      </c>
      <c r="D31" s="11" t="s">
        <v>118</v>
      </c>
      <c r="E31" s="10">
        <v>5.70056377252E11</v>
      </c>
      <c r="F31" s="3" t="s">
        <v>119</v>
      </c>
      <c r="G31" s="3" t="s">
        <v>12</v>
      </c>
      <c r="H31" s="3" t="s">
        <v>70</v>
      </c>
      <c r="I31" s="3" t="s">
        <v>71</v>
      </c>
      <c r="J31" s="12" t="s">
        <v>72</v>
      </c>
      <c r="K31" s="3"/>
      <c r="L31" s="3"/>
      <c r="M31" s="3"/>
      <c r="N31" s="3"/>
      <c r="O31" s="3"/>
      <c r="P31" s="3"/>
      <c r="Q31" s="3"/>
    </row>
    <row r="32" ht="15.75" customHeight="1">
      <c r="A32" s="10">
        <v>31.0</v>
      </c>
      <c r="B32" s="3" t="s">
        <v>120</v>
      </c>
      <c r="C32" s="3" t="s">
        <v>121</v>
      </c>
      <c r="D32" s="11" t="s">
        <v>122</v>
      </c>
      <c r="E32" s="10">
        <v>5.70056377255E11</v>
      </c>
      <c r="F32" s="3" t="s">
        <v>123</v>
      </c>
      <c r="G32" s="3" t="s">
        <v>12</v>
      </c>
      <c r="H32" s="3" t="s">
        <v>70</v>
      </c>
      <c r="I32" s="3" t="s">
        <v>71</v>
      </c>
      <c r="J32" s="12" t="s">
        <v>89</v>
      </c>
      <c r="K32" s="3"/>
      <c r="L32" s="3"/>
      <c r="M32" s="3"/>
      <c r="N32" s="3"/>
      <c r="O32" s="3"/>
      <c r="P32" s="3"/>
      <c r="Q32" s="3"/>
    </row>
    <row r="33" ht="15.75" customHeight="1">
      <c r="A33" s="10">
        <v>32.0</v>
      </c>
      <c r="B33" s="3" t="s">
        <v>124</v>
      </c>
      <c r="C33" s="3" t="s">
        <v>125</v>
      </c>
      <c r="D33" s="11" t="s">
        <v>126</v>
      </c>
      <c r="E33" s="10">
        <v>5.70056377256E11</v>
      </c>
      <c r="F33" s="3" t="s">
        <v>127</v>
      </c>
      <c r="G33" s="3" t="s">
        <v>12</v>
      </c>
      <c r="H33" s="3" t="s">
        <v>70</v>
      </c>
      <c r="I33" s="3" t="s">
        <v>71</v>
      </c>
      <c r="J33" s="12" t="s">
        <v>89</v>
      </c>
      <c r="K33" s="3"/>
      <c r="L33" s="3"/>
      <c r="M33" s="3"/>
      <c r="N33" s="3"/>
      <c r="O33" s="3"/>
      <c r="P33" s="3"/>
      <c r="Q33" s="3"/>
    </row>
    <row r="34" ht="15.75" customHeight="1">
      <c r="A34" s="10">
        <v>33.0</v>
      </c>
      <c r="B34" s="3" t="s">
        <v>128</v>
      </c>
      <c r="C34" s="3" t="s">
        <v>129</v>
      </c>
      <c r="D34" s="11" t="s">
        <v>130</v>
      </c>
      <c r="E34" s="10">
        <v>5.70056377257E11</v>
      </c>
      <c r="F34" s="3" t="s">
        <v>131</v>
      </c>
      <c r="G34" s="3" t="s">
        <v>12</v>
      </c>
      <c r="H34" s="3" t="s">
        <v>70</v>
      </c>
      <c r="I34" s="3" t="s">
        <v>71</v>
      </c>
      <c r="J34" s="12" t="s">
        <v>89</v>
      </c>
      <c r="K34" s="3"/>
      <c r="L34" s="3"/>
      <c r="M34" s="3"/>
      <c r="N34" s="3"/>
      <c r="O34" s="3"/>
      <c r="P34" s="3"/>
      <c r="Q34" s="3"/>
    </row>
    <row r="35" ht="15.75" customHeight="1">
      <c r="A35" s="4">
        <v>34.0</v>
      </c>
      <c r="B35" s="1" t="s">
        <v>132</v>
      </c>
      <c r="C35" s="1" t="s">
        <v>133</v>
      </c>
      <c r="D35" s="2" t="s">
        <v>134</v>
      </c>
      <c r="E35" s="8">
        <v>5.70056377259E11</v>
      </c>
      <c r="F35" s="1" t="s">
        <v>135</v>
      </c>
      <c r="G35" s="1" t="s">
        <v>12</v>
      </c>
      <c r="H35" s="5" t="s">
        <v>13</v>
      </c>
      <c r="I35" s="3"/>
      <c r="J35" s="3"/>
      <c r="K35" s="3"/>
      <c r="L35" s="3"/>
      <c r="M35" s="3"/>
      <c r="N35" s="3"/>
      <c r="O35" s="3"/>
      <c r="P35" s="3"/>
      <c r="Q35" s="3"/>
    </row>
    <row r="36" ht="15.75" customHeight="1">
      <c r="A36" s="4">
        <v>35.0</v>
      </c>
      <c r="B36" s="1" t="s">
        <v>136</v>
      </c>
      <c r="C36" s="1" t="s">
        <v>137</v>
      </c>
      <c r="D36" s="2" t="s">
        <v>138</v>
      </c>
      <c r="E36" s="4">
        <v>5.7005637726E11</v>
      </c>
      <c r="F36" s="1" t="s">
        <v>119</v>
      </c>
      <c r="G36" s="1" t="s">
        <v>12</v>
      </c>
      <c r="H36" s="5" t="s">
        <v>13</v>
      </c>
      <c r="I36" s="3"/>
      <c r="J36" s="3"/>
      <c r="K36" s="3"/>
      <c r="L36" s="3"/>
      <c r="M36" s="3"/>
      <c r="N36" s="3"/>
      <c r="O36" s="3"/>
      <c r="P36" s="3"/>
      <c r="Q36" s="3"/>
    </row>
    <row r="37" ht="15.75" customHeight="1">
      <c r="A37" s="4">
        <v>36.0</v>
      </c>
      <c r="B37" s="1" t="s">
        <v>136</v>
      </c>
      <c r="C37" s="1" t="s">
        <v>139</v>
      </c>
      <c r="D37" s="2" t="s">
        <v>74</v>
      </c>
      <c r="E37" s="4">
        <v>5.70056377261E11</v>
      </c>
      <c r="F37" s="1" t="s">
        <v>140</v>
      </c>
      <c r="G37" s="1" t="s">
        <v>12</v>
      </c>
      <c r="H37" s="5" t="s">
        <v>13</v>
      </c>
      <c r="I37" s="3"/>
      <c r="J37" s="3"/>
      <c r="K37" s="3"/>
      <c r="L37" s="3"/>
      <c r="M37" s="3"/>
      <c r="N37" s="3"/>
      <c r="O37" s="3"/>
      <c r="P37" s="3"/>
      <c r="Q37" s="3"/>
    </row>
    <row r="38" ht="15.75" customHeight="1">
      <c r="A38" s="4">
        <v>37.0</v>
      </c>
      <c r="B38" s="1" t="s">
        <v>141</v>
      </c>
      <c r="C38" s="1" t="s">
        <v>90</v>
      </c>
      <c r="D38" s="2" t="s">
        <v>142</v>
      </c>
      <c r="E38" s="4">
        <v>5.70056377263E11</v>
      </c>
      <c r="F38" s="1" t="s">
        <v>143</v>
      </c>
      <c r="G38" s="1" t="s">
        <v>12</v>
      </c>
      <c r="H38" s="5" t="s">
        <v>13</v>
      </c>
      <c r="I38" s="3"/>
      <c r="J38" s="3"/>
      <c r="K38" s="3"/>
      <c r="L38" s="3"/>
      <c r="M38" s="3"/>
      <c r="N38" s="3"/>
      <c r="O38" s="3"/>
      <c r="P38" s="3"/>
      <c r="Q38" s="3"/>
    </row>
    <row r="39" ht="15.75" customHeight="1">
      <c r="A39" s="4">
        <v>38.0</v>
      </c>
      <c r="B39" s="1" t="s">
        <v>144</v>
      </c>
      <c r="C39" s="1" t="s">
        <v>145</v>
      </c>
      <c r="D39" s="2" t="s">
        <v>146</v>
      </c>
      <c r="E39" s="4">
        <v>5.70056377264E11</v>
      </c>
      <c r="F39" s="1" t="s">
        <v>147</v>
      </c>
      <c r="G39" s="1" t="s">
        <v>12</v>
      </c>
      <c r="H39" s="5" t="s">
        <v>13</v>
      </c>
      <c r="I39" s="3"/>
      <c r="J39" s="3"/>
      <c r="K39" s="3"/>
      <c r="L39" s="3"/>
      <c r="M39" s="3"/>
      <c r="N39" s="3"/>
      <c r="O39" s="3"/>
      <c r="P39" s="3"/>
      <c r="Q39" s="3"/>
    </row>
    <row r="40" ht="15.75" customHeight="1">
      <c r="A40" s="4">
        <v>39.0</v>
      </c>
      <c r="B40" s="1" t="s">
        <v>148</v>
      </c>
      <c r="C40" s="1" t="s">
        <v>43</v>
      </c>
      <c r="D40" s="2" t="s">
        <v>44</v>
      </c>
      <c r="E40" s="4">
        <v>5.70056377265E11</v>
      </c>
      <c r="F40" s="1" t="s">
        <v>149</v>
      </c>
      <c r="G40" s="1" t="s">
        <v>12</v>
      </c>
      <c r="H40" s="5" t="s">
        <v>13</v>
      </c>
      <c r="I40" s="3"/>
      <c r="J40" s="3"/>
      <c r="K40" s="3"/>
      <c r="L40" s="3"/>
      <c r="M40" s="3"/>
      <c r="N40" s="3"/>
      <c r="O40" s="3"/>
      <c r="P40" s="3"/>
      <c r="Q40" s="3"/>
    </row>
    <row r="41" ht="15.75" customHeight="1">
      <c r="A41" s="4">
        <v>40.0</v>
      </c>
      <c r="B41" s="1" t="s">
        <v>150</v>
      </c>
      <c r="C41" s="1" t="s">
        <v>151</v>
      </c>
      <c r="D41" s="2" t="s">
        <v>152</v>
      </c>
      <c r="E41" s="4">
        <v>5.70056377266E11</v>
      </c>
      <c r="F41" s="1" t="s">
        <v>153</v>
      </c>
      <c r="G41" s="1" t="s">
        <v>12</v>
      </c>
      <c r="H41" s="5" t="s">
        <v>13</v>
      </c>
      <c r="I41" s="3"/>
      <c r="J41" s="3"/>
      <c r="K41" s="3"/>
      <c r="L41" s="3"/>
      <c r="M41" s="3"/>
      <c r="N41" s="3"/>
      <c r="O41" s="3"/>
      <c r="P41" s="3"/>
      <c r="Q41" s="3"/>
    </row>
    <row r="42" ht="15.75" customHeight="1">
      <c r="A42" s="4">
        <v>41.0</v>
      </c>
      <c r="B42" s="1" t="s">
        <v>154</v>
      </c>
      <c r="C42" s="1" t="s">
        <v>155</v>
      </c>
      <c r="D42" s="2" t="s">
        <v>156</v>
      </c>
      <c r="E42" s="4">
        <v>5.70056377267E11</v>
      </c>
      <c r="F42" s="1" t="s">
        <v>157</v>
      </c>
      <c r="G42" s="1" t="s">
        <v>12</v>
      </c>
      <c r="H42" s="5" t="s">
        <v>13</v>
      </c>
      <c r="I42" s="3"/>
      <c r="J42" s="3"/>
      <c r="K42" s="3"/>
      <c r="L42" s="3"/>
      <c r="M42" s="3"/>
      <c r="N42" s="3"/>
      <c r="O42" s="3"/>
      <c r="P42" s="3"/>
      <c r="Q42" s="3"/>
    </row>
    <row r="43" ht="15.75" customHeight="1">
      <c r="A43" s="4">
        <v>42.0</v>
      </c>
      <c r="B43" s="9" t="s">
        <v>158</v>
      </c>
      <c r="C43" s="1" t="s">
        <v>159</v>
      </c>
      <c r="D43" s="2" t="s">
        <v>160</v>
      </c>
      <c r="E43" s="4">
        <v>5.70056377274E11</v>
      </c>
      <c r="F43" s="1" t="s">
        <v>161</v>
      </c>
      <c r="G43" s="1" t="s">
        <v>37</v>
      </c>
      <c r="H43" s="5" t="s">
        <v>13</v>
      </c>
      <c r="I43" s="3"/>
      <c r="J43" s="3"/>
      <c r="K43" s="3"/>
      <c r="L43" s="3"/>
      <c r="M43" s="3"/>
      <c r="N43" s="3"/>
      <c r="O43" s="3"/>
      <c r="P43" s="3"/>
      <c r="Q43" s="3"/>
    </row>
    <row r="44" ht="15.75" customHeight="1">
      <c r="A44" s="4">
        <v>43.0</v>
      </c>
      <c r="B44" s="1" t="s">
        <v>162</v>
      </c>
      <c r="C44" s="1" t="s">
        <v>163</v>
      </c>
      <c r="D44" s="2" t="s">
        <v>164</v>
      </c>
      <c r="E44" s="4">
        <v>5.70056377284E11</v>
      </c>
      <c r="F44" s="1" t="s">
        <v>165</v>
      </c>
      <c r="G44" s="1" t="s">
        <v>62</v>
      </c>
      <c r="H44" s="5" t="s">
        <v>13</v>
      </c>
      <c r="I44" s="3"/>
      <c r="J44" s="3"/>
      <c r="K44" s="3"/>
      <c r="L44" s="3"/>
      <c r="M44" s="3"/>
      <c r="N44" s="3"/>
      <c r="O44" s="3"/>
      <c r="P44" s="3"/>
      <c r="Q44" s="3"/>
    </row>
    <row r="45" ht="15.75" customHeight="1">
      <c r="A45" s="4">
        <v>44.0</v>
      </c>
      <c r="B45" s="1" t="s">
        <v>92</v>
      </c>
      <c r="C45" s="1" t="s">
        <v>166</v>
      </c>
      <c r="D45" s="2" t="s">
        <v>167</v>
      </c>
      <c r="E45" s="4">
        <v>5.70056377286E11</v>
      </c>
      <c r="F45" s="1" t="s">
        <v>168</v>
      </c>
      <c r="G45" s="1" t="s">
        <v>12</v>
      </c>
      <c r="H45" s="5" t="s">
        <v>13</v>
      </c>
      <c r="I45" s="3"/>
      <c r="J45" s="3"/>
      <c r="K45" s="3"/>
      <c r="L45" s="3"/>
      <c r="M45" s="3"/>
      <c r="N45" s="3"/>
      <c r="O45" s="3"/>
      <c r="P45" s="3"/>
      <c r="Q45" s="3"/>
    </row>
    <row r="46" ht="15.75" customHeight="1">
      <c r="A46" s="4">
        <v>45.0</v>
      </c>
      <c r="B46" s="1" t="s">
        <v>169</v>
      </c>
      <c r="C46" s="1" t="s">
        <v>170</v>
      </c>
      <c r="D46" s="2" t="s">
        <v>171</v>
      </c>
      <c r="E46" s="4">
        <v>5.70056377288E11</v>
      </c>
      <c r="F46" s="1" t="s">
        <v>172</v>
      </c>
      <c r="G46" s="1" t="s">
        <v>37</v>
      </c>
      <c r="H46" s="5" t="s">
        <v>13</v>
      </c>
      <c r="I46" s="3"/>
      <c r="J46" s="3"/>
      <c r="K46" s="3"/>
      <c r="L46" s="3"/>
      <c r="M46" s="3"/>
      <c r="N46" s="3"/>
      <c r="O46" s="3"/>
      <c r="P46" s="3"/>
      <c r="Q46" s="3"/>
    </row>
    <row r="47" ht="15.75" customHeight="1">
      <c r="A47" s="4">
        <v>46.0</v>
      </c>
      <c r="B47" s="1" t="s">
        <v>173</v>
      </c>
      <c r="C47" s="1" t="s">
        <v>170</v>
      </c>
      <c r="D47" s="2" t="s">
        <v>171</v>
      </c>
      <c r="E47" s="4">
        <v>5.70056377289E11</v>
      </c>
      <c r="F47" s="1" t="s">
        <v>174</v>
      </c>
      <c r="G47" s="1" t="s">
        <v>12</v>
      </c>
      <c r="H47" s="5" t="s">
        <v>13</v>
      </c>
      <c r="I47" s="3"/>
      <c r="J47" s="3"/>
      <c r="K47" s="3"/>
      <c r="L47" s="3"/>
      <c r="M47" s="3"/>
      <c r="N47" s="3"/>
      <c r="O47" s="3"/>
      <c r="P47" s="3"/>
      <c r="Q47" s="3"/>
    </row>
    <row r="48" ht="15.75" customHeight="1">
      <c r="A48" s="4">
        <v>47.0</v>
      </c>
      <c r="B48" s="1" t="s">
        <v>175</v>
      </c>
      <c r="C48" s="1" t="s">
        <v>162</v>
      </c>
      <c r="D48" s="2" t="s">
        <v>176</v>
      </c>
      <c r="E48" s="4">
        <v>5.70056377292E11</v>
      </c>
      <c r="F48" s="1" t="s">
        <v>177</v>
      </c>
      <c r="G48" s="1" t="s">
        <v>62</v>
      </c>
      <c r="H48" s="5" t="s">
        <v>13</v>
      </c>
      <c r="I48" s="3"/>
      <c r="J48" s="3"/>
      <c r="K48" s="3"/>
      <c r="L48" s="3"/>
      <c r="M48" s="3"/>
      <c r="N48" s="3"/>
      <c r="O48" s="3"/>
      <c r="P48" s="3"/>
      <c r="Q48" s="3"/>
    </row>
    <row r="49" ht="15.75" customHeight="1">
      <c r="A49" s="4">
        <v>48.0</v>
      </c>
      <c r="B49" s="1" t="s">
        <v>136</v>
      </c>
      <c r="C49" s="1" t="s">
        <v>178</v>
      </c>
      <c r="D49" s="2" t="s">
        <v>179</v>
      </c>
      <c r="E49" s="4">
        <v>5.70056377297E11</v>
      </c>
      <c r="F49" s="1" t="s">
        <v>180</v>
      </c>
      <c r="G49" s="1" t="s">
        <v>12</v>
      </c>
      <c r="H49" s="5" t="s">
        <v>13</v>
      </c>
      <c r="I49" s="3"/>
      <c r="J49" s="3"/>
      <c r="K49" s="3"/>
      <c r="L49" s="3"/>
      <c r="M49" s="3"/>
      <c r="N49" s="3"/>
      <c r="O49" s="3"/>
      <c r="P49" s="3"/>
      <c r="Q49" s="3"/>
    </row>
    <row r="50" ht="15.75" customHeight="1">
      <c r="A50" s="4">
        <v>49.0</v>
      </c>
      <c r="B50" s="1" t="s">
        <v>120</v>
      </c>
      <c r="C50" s="1" t="s">
        <v>181</v>
      </c>
      <c r="D50" s="2" t="s">
        <v>182</v>
      </c>
      <c r="E50" s="4">
        <v>5.70056377298E11</v>
      </c>
      <c r="F50" s="1" t="s">
        <v>183</v>
      </c>
      <c r="G50" s="1" t="s">
        <v>37</v>
      </c>
      <c r="H50" s="5" t="s">
        <v>13</v>
      </c>
      <c r="I50" s="3"/>
      <c r="J50" s="3"/>
      <c r="K50" s="3"/>
      <c r="L50" s="3"/>
      <c r="M50" s="3"/>
      <c r="N50" s="3"/>
      <c r="O50" s="3"/>
      <c r="P50" s="3"/>
      <c r="Q50" s="3"/>
    </row>
    <row r="51" ht="15.75" customHeight="1">
      <c r="A51" s="4">
        <v>50.0</v>
      </c>
      <c r="B51" s="1" t="s">
        <v>184</v>
      </c>
      <c r="C51" s="1" t="s">
        <v>185</v>
      </c>
      <c r="D51" s="2" t="s">
        <v>186</v>
      </c>
      <c r="E51" s="4">
        <v>5.70056377299E11</v>
      </c>
      <c r="F51" s="1" t="s">
        <v>187</v>
      </c>
      <c r="G51" s="1" t="s">
        <v>12</v>
      </c>
      <c r="H51" s="5" t="s">
        <v>13</v>
      </c>
      <c r="I51" s="3"/>
      <c r="J51" s="3"/>
      <c r="K51" s="3"/>
      <c r="L51" s="3"/>
      <c r="M51" s="3"/>
      <c r="N51" s="3"/>
      <c r="O51" s="3"/>
      <c r="P51" s="3"/>
      <c r="Q51" s="3"/>
    </row>
    <row r="52" ht="15.75" customHeight="1">
      <c r="A52" s="4">
        <v>51.0</v>
      </c>
      <c r="B52" s="1" t="s">
        <v>51</v>
      </c>
      <c r="C52" s="1" t="s">
        <v>185</v>
      </c>
      <c r="D52" s="2" t="s">
        <v>186</v>
      </c>
      <c r="E52" s="4">
        <v>5.700563773E11</v>
      </c>
      <c r="F52" s="1" t="s">
        <v>188</v>
      </c>
      <c r="G52" s="1" t="s">
        <v>12</v>
      </c>
      <c r="H52" s="5" t="s">
        <v>13</v>
      </c>
      <c r="I52" s="3"/>
      <c r="J52" s="3"/>
      <c r="K52" s="3"/>
      <c r="L52" s="3"/>
      <c r="M52" s="3"/>
      <c r="N52" s="3"/>
      <c r="O52" s="3"/>
      <c r="P52" s="3"/>
      <c r="Q52" s="3"/>
    </row>
    <row r="53" ht="15.75" customHeight="1">
      <c r="A53" s="4">
        <v>52.0</v>
      </c>
      <c r="B53" s="1" t="s">
        <v>189</v>
      </c>
      <c r="C53" s="1" t="s">
        <v>185</v>
      </c>
      <c r="D53" s="2" t="s">
        <v>186</v>
      </c>
      <c r="E53" s="4">
        <v>5.70056377301E11</v>
      </c>
      <c r="F53" s="1" t="s">
        <v>190</v>
      </c>
      <c r="G53" s="1" t="s">
        <v>12</v>
      </c>
      <c r="H53" s="5" t="s">
        <v>13</v>
      </c>
      <c r="I53" s="3"/>
      <c r="J53" s="3"/>
      <c r="K53" s="3"/>
      <c r="L53" s="3"/>
      <c r="M53" s="3"/>
      <c r="N53" s="3"/>
      <c r="O53" s="3"/>
      <c r="P53" s="3"/>
      <c r="Q53" s="3"/>
    </row>
    <row r="54" ht="15.75" customHeight="1">
      <c r="A54" s="4">
        <v>53.0</v>
      </c>
      <c r="B54" s="1" t="s">
        <v>191</v>
      </c>
      <c r="C54" s="1" t="s">
        <v>184</v>
      </c>
      <c r="D54" s="2" t="s">
        <v>160</v>
      </c>
      <c r="E54" s="4">
        <v>5.70056377302E11</v>
      </c>
      <c r="F54" s="1" t="s">
        <v>192</v>
      </c>
      <c r="G54" s="1" t="s">
        <v>12</v>
      </c>
      <c r="H54" s="5" t="s">
        <v>13</v>
      </c>
      <c r="I54" s="3"/>
      <c r="J54" s="3"/>
      <c r="K54" s="3"/>
      <c r="L54" s="3"/>
      <c r="M54" s="3"/>
      <c r="N54" s="3"/>
      <c r="O54" s="3"/>
      <c r="P54" s="3"/>
      <c r="Q54" s="3"/>
    </row>
    <row r="55" ht="15.75" customHeight="1">
      <c r="A55" s="4">
        <v>54.0</v>
      </c>
      <c r="B55" s="1" t="s">
        <v>193</v>
      </c>
      <c r="C55" s="1" t="s">
        <v>194</v>
      </c>
      <c r="D55" s="2" t="s">
        <v>195</v>
      </c>
      <c r="E55" s="4">
        <v>5.70056377303E11</v>
      </c>
      <c r="F55" s="1" t="s">
        <v>196</v>
      </c>
      <c r="G55" s="1" t="s">
        <v>197</v>
      </c>
      <c r="H55" s="5" t="s">
        <v>13</v>
      </c>
      <c r="I55" s="3"/>
      <c r="J55" s="3"/>
      <c r="K55" s="3"/>
      <c r="L55" s="3"/>
      <c r="M55" s="3"/>
      <c r="N55" s="3"/>
      <c r="O55" s="3"/>
      <c r="P55" s="3"/>
      <c r="Q55" s="3"/>
    </row>
    <row r="56" ht="15.75" customHeight="1">
      <c r="A56" s="4">
        <v>55.0</v>
      </c>
      <c r="B56" s="1" t="s">
        <v>198</v>
      </c>
      <c r="C56" s="1" t="s">
        <v>199</v>
      </c>
      <c r="D56" s="2" t="s">
        <v>142</v>
      </c>
      <c r="E56" s="4">
        <v>5.70056377305E11</v>
      </c>
      <c r="F56" s="1" t="s">
        <v>200</v>
      </c>
      <c r="G56" s="1" t="s">
        <v>62</v>
      </c>
      <c r="H56" s="5" t="s">
        <v>13</v>
      </c>
      <c r="I56" s="3"/>
      <c r="J56" s="3"/>
      <c r="K56" s="3"/>
      <c r="L56" s="3"/>
      <c r="M56" s="3"/>
      <c r="N56" s="3"/>
      <c r="O56" s="3"/>
      <c r="P56" s="3"/>
      <c r="Q56" s="3"/>
    </row>
    <row r="57" ht="15.75" customHeight="1">
      <c r="A57" s="8">
        <v>56.0</v>
      </c>
      <c r="B57" s="9" t="s">
        <v>201</v>
      </c>
      <c r="C57" s="9" t="s">
        <v>202</v>
      </c>
      <c r="D57" s="13" t="s">
        <v>203</v>
      </c>
      <c r="E57" s="8">
        <v>5.70056377306E11</v>
      </c>
      <c r="F57" s="9" t="s">
        <v>204</v>
      </c>
      <c r="G57" s="9" t="s">
        <v>12</v>
      </c>
      <c r="H57" s="14" t="s">
        <v>13</v>
      </c>
      <c r="I57" s="3"/>
      <c r="J57" s="3"/>
      <c r="K57" s="3"/>
      <c r="L57" s="3"/>
      <c r="M57" s="3"/>
      <c r="N57" s="3"/>
      <c r="O57" s="3"/>
      <c r="P57" s="3"/>
      <c r="Q57" s="3"/>
    </row>
    <row r="58" ht="15.75" customHeight="1">
      <c r="A58" s="8">
        <v>57.0</v>
      </c>
      <c r="B58" s="9" t="s">
        <v>205</v>
      </c>
      <c r="C58" s="9" t="s">
        <v>206</v>
      </c>
      <c r="D58" s="13" t="s">
        <v>207</v>
      </c>
      <c r="E58" s="8">
        <v>5.70056377308E11</v>
      </c>
      <c r="F58" s="9" t="s">
        <v>208</v>
      </c>
      <c r="G58" s="9" t="s">
        <v>12</v>
      </c>
      <c r="H58" s="14" t="s">
        <v>13</v>
      </c>
      <c r="I58" s="3"/>
      <c r="J58" s="3"/>
      <c r="K58" s="3"/>
      <c r="L58" s="3"/>
      <c r="M58" s="3"/>
      <c r="N58" s="3"/>
      <c r="O58" s="3"/>
      <c r="P58" s="3"/>
      <c r="Q58" s="3"/>
    </row>
    <row r="59" ht="15.75" customHeight="1">
      <c r="A59" s="8">
        <v>58.0</v>
      </c>
      <c r="B59" s="9" t="s">
        <v>209</v>
      </c>
      <c r="C59" s="9" t="s">
        <v>210</v>
      </c>
      <c r="D59" s="13" t="s">
        <v>211</v>
      </c>
      <c r="E59" s="8">
        <v>5.7005637731E11</v>
      </c>
      <c r="F59" s="9" t="s">
        <v>212</v>
      </c>
      <c r="G59" s="9" t="s">
        <v>12</v>
      </c>
      <c r="H59" s="14" t="s">
        <v>13</v>
      </c>
      <c r="I59" s="3"/>
      <c r="J59" s="3"/>
      <c r="K59" s="3"/>
      <c r="L59" s="3"/>
      <c r="M59" s="3"/>
      <c r="N59" s="3"/>
      <c r="O59" s="3"/>
      <c r="P59" s="3"/>
      <c r="Q59" s="3"/>
    </row>
    <row r="60" ht="15.75" customHeight="1">
      <c r="A60" s="8">
        <v>59.0</v>
      </c>
      <c r="B60" s="9" t="s">
        <v>213</v>
      </c>
      <c r="C60" s="9" t="s">
        <v>47</v>
      </c>
      <c r="D60" s="13" t="s">
        <v>48</v>
      </c>
      <c r="E60" s="8">
        <v>5.70056377311E11</v>
      </c>
      <c r="F60" s="9" t="s">
        <v>123</v>
      </c>
      <c r="G60" s="9" t="s">
        <v>12</v>
      </c>
      <c r="H60" s="14" t="s">
        <v>13</v>
      </c>
      <c r="I60" s="3"/>
      <c r="J60" s="3"/>
      <c r="K60" s="3"/>
      <c r="L60" s="3"/>
      <c r="M60" s="3"/>
      <c r="N60" s="3"/>
      <c r="O60" s="3"/>
      <c r="P60" s="3"/>
      <c r="Q60" s="3"/>
    </row>
    <row r="61" ht="15.75" customHeight="1">
      <c r="A61" s="8">
        <v>60.0</v>
      </c>
      <c r="B61" s="9" t="s">
        <v>214</v>
      </c>
      <c r="C61" s="9" t="s">
        <v>215</v>
      </c>
      <c r="D61" s="13" t="s">
        <v>216</v>
      </c>
      <c r="E61" s="8">
        <v>5.70056377313E11</v>
      </c>
      <c r="F61" s="9" t="s">
        <v>217</v>
      </c>
      <c r="G61" s="9" t="s">
        <v>12</v>
      </c>
      <c r="H61" s="14" t="s">
        <v>13</v>
      </c>
      <c r="I61" s="3"/>
      <c r="J61" s="3"/>
      <c r="K61" s="3"/>
      <c r="L61" s="3"/>
      <c r="M61" s="3"/>
      <c r="N61" s="3"/>
      <c r="O61" s="3"/>
      <c r="P61" s="3"/>
      <c r="Q61" s="3"/>
    </row>
    <row r="62" ht="15.75" customHeight="1">
      <c r="A62" s="8">
        <v>61.0</v>
      </c>
      <c r="B62" s="9" t="s">
        <v>8</v>
      </c>
      <c r="C62" s="9" t="s">
        <v>215</v>
      </c>
      <c r="D62" s="13" t="s">
        <v>216</v>
      </c>
      <c r="E62" s="8">
        <v>5.70056377314E11</v>
      </c>
      <c r="F62" s="9" t="s">
        <v>218</v>
      </c>
      <c r="G62" s="9" t="s">
        <v>37</v>
      </c>
      <c r="H62" s="14" t="s">
        <v>13</v>
      </c>
      <c r="I62" s="3"/>
      <c r="J62" s="3"/>
      <c r="K62" s="3"/>
      <c r="L62" s="3"/>
      <c r="M62" s="3"/>
      <c r="N62" s="3"/>
      <c r="O62" s="3"/>
      <c r="P62" s="3"/>
      <c r="Q62" s="3"/>
    </row>
    <row r="63" ht="15.75" customHeight="1">
      <c r="A63" s="8">
        <v>62.0</v>
      </c>
      <c r="B63" s="9" t="s">
        <v>219</v>
      </c>
      <c r="C63" s="9" t="s">
        <v>220</v>
      </c>
      <c r="D63" s="13" t="s">
        <v>221</v>
      </c>
      <c r="E63" s="8">
        <v>5.70056377316E11</v>
      </c>
      <c r="F63" s="9" t="s">
        <v>222</v>
      </c>
      <c r="G63" s="9" t="s">
        <v>12</v>
      </c>
      <c r="H63" s="14" t="s">
        <v>13</v>
      </c>
      <c r="I63" s="3"/>
      <c r="J63" s="3"/>
      <c r="K63" s="3"/>
      <c r="L63" s="3"/>
      <c r="M63" s="3"/>
      <c r="N63" s="3"/>
      <c r="O63" s="3"/>
      <c r="P63" s="3"/>
      <c r="Q63" s="3"/>
    </row>
    <row r="64" ht="15.75" customHeight="1">
      <c r="A64" s="8">
        <v>63.0</v>
      </c>
      <c r="B64" s="9" t="s">
        <v>223</v>
      </c>
      <c r="C64" s="9" t="s">
        <v>215</v>
      </c>
      <c r="D64" s="13" t="s">
        <v>216</v>
      </c>
      <c r="E64" s="8">
        <v>5.70056377321E11</v>
      </c>
      <c r="F64" s="9" t="s">
        <v>224</v>
      </c>
      <c r="G64" s="9" t="s">
        <v>12</v>
      </c>
      <c r="H64" s="14" t="s">
        <v>13</v>
      </c>
      <c r="I64" s="3"/>
      <c r="J64" s="3"/>
      <c r="K64" s="3"/>
      <c r="L64" s="3"/>
      <c r="M64" s="3"/>
      <c r="N64" s="3"/>
      <c r="O64" s="3"/>
      <c r="P64" s="3"/>
      <c r="Q64" s="3"/>
    </row>
    <row r="65" ht="15.75" customHeight="1">
      <c r="A65" s="8">
        <v>64.0</v>
      </c>
      <c r="B65" s="9" t="s">
        <v>225</v>
      </c>
      <c r="C65" s="9" t="s">
        <v>112</v>
      </c>
      <c r="D65" s="13" t="s">
        <v>226</v>
      </c>
      <c r="E65" s="8">
        <v>5.70056377323E11</v>
      </c>
      <c r="F65" s="9" t="s">
        <v>227</v>
      </c>
      <c r="G65" s="9" t="s">
        <v>12</v>
      </c>
      <c r="H65" s="14" t="s">
        <v>13</v>
      </c>
      <c r="I65" s="3"/>
      <c r="J65" s="3"/>
      <c r="K65" s="3"/>
      <c r="L65" s="3"/>
      <c r="M65" s="3"/>
      <c r="N65" s="3"/>
      <c r="O65" s="3"/>
      <c r="P65" s="3"/>
      <c r="Q65" s="3"/>
    </row>
    <row r="66" ht="15.75" customHeight="1">
      <c r="A66" s="8">
        <v>65.0</v>
      </c>
      <c r="B66" s="9" t="s">
        <v>228</v>
      </c>
      <c r="C66" s="9" t="s">
        <v>112</v>
      </c>
      <c r="D66" s="13" t="s">
        <v>226</v>
      </c>
      <c r="E66" s="8">
        <v>5.70056377324E11</v>
      </c>
      <c r="F66" s="9" t="s">
        <v>229</v>
      </c>
      <c r="G66" s="9" t="s">
        <v>50</v>
      </c>
      <c r="H66" s="14" t="s">
        <v>13</v>
      </c>
      <c r="I66" s="3"/>
      <c r="J66" s="3"/>
      <c r="K66" s="3"/>
      <c r="L66" s="3"/>
      <c r="M66" s="3"/>
      <c r="N66" s="3"/>
      <c r="O66" s="3"/>
      <c r="P66" s="3"/>
      <c r="Q66" s="3"/>
    </row>
    <row r="67" ht="15.75" customHeight="1">
      <c r="A67" s="8">
        <v>66.0</v>
      </c>
      <c r="B67" s="9" t="s">
        <v>92</v>
      </c>
      <c r="C67" s="9" t="s">
        <v>230</v>
      </c>
      <c r="D67" s="13" t="s">
        <v>231</v>
      </c>
      <c r="E67" s="8">
        <v>5.70056377328E11</v>
      </c>
      <c r="F67" s="9" t="s">
        <v>232</v>
      </c>
      <c r="G67" s="9" t="s">
        <v>12</v>
      </c>
      <c r="H67" s="14" t="s">
        <v>13</v>
      </c>
      <c r="I67" s="3"/>
      <c r="J67" s="3"/>
      <c r="K67" s="3"/>
      <c r="L67" s="3"/>
      <c r="M67" s="3"/>
      <c r="N67" s="3"/>
      <c r="O67" s="3"/>
      <c r="P67" s="3"/>
      <c r="Q67" s="3"/>
    </row>
    <row r="68" ht="15.75" customHeight="1">
      <c r="A68" s="8">
        <v>67.0</v>
      </c>
      <c r="B68" s="9" t="s">
        <v>213</v>
      </c>
      <c r="C68" s="9" t="s">
        <v>112</v>
      </c>
      <c r="D68" s="13" t="s">
        <v>226</v>
      </c>
      <c r="E68" s="8">
        <v>5.70056377329E11</v>
      </c>
      <c r="F68" s="9" t="s">
        <v>233</v>
      </c>
      <c r="G68" s="9" t="s">
        <v>12</v>
      </c>
      <c r="H68" s="14" t="s">
        <v>13</v>
      </c>
      <c r="I68" s="3"/>
      <c r="J68" s="3"/>
      <c r="K68" s="3"/>
      <c r="L68" s="3"/>
      <c r="M68" s="3"/>
      <c r="N68" s="3"/>
      <c r="O68" s="3"/>
      <c r="P68" s="3"/>
      <c r="Q68" s="3"/>
    </row>
    <row r="69" ht="15.75" customHeight="1">
      <c r="A69" s="8">
        <v>68.0</v>
      </c>
      <c r="B69" s="9" t="s">
        <v>234</v>
      </c>
      <c r="C69" s="9" t="s">
        <v>235</v>
      </c>
      <c r="D69" s="13" t="s">
        <v>236</v>
      </c>
      <c r="E69" s="8">
        <v>5.70056377333E11</v>
      </c>
      <c r="F69" s="9" t="s">
        <v>237</v>
      </c>
      <c r="G69" s="9" t="s">
        <v>12</v>
      </c>
      <c r="H69" s="14" t="s">
        <v>13</v>
      </c>
      <c r="I69" s="3"/>
      <c r="J69" s="3"/>
      <c r="K69" s="3"/>
      <c r="L69" s="3"/>
      <c r="M69" s="3"/>
      <c r="N69" s="3"/>
      <c r="O69" s="3"/>
      <c r="P69" s="3"/>
      <c r="Q69" s="3"/>
    </row>
    <row r="70" ht="15.75" customHeight="1">
      <c r="A70" s="8">
        <v>69.0</v>
      </c>
      <c r="B70" s="9" t="s">
        <v>238</v>
      </c>
      <c r="C70" s="9" t="s">
        <v>239</v>
      </c>
      <c r="D70" s="13" t="s">
        <v>240</v>
      </c>
      <c r="E70" s="8">
        <v>5.70056377337E11</v>
      </c>
      <c r="F70" s="9" t="s">
        <v>241</v>
      </c>
      <c r="G70" s="9" t="s">
        <v>12</v>
      </c>
      <c r="H70" s="14" t="s">
        <v>13</v>
      </c>
      <c r="I70" s="3"/>
      <c r="J70" s="3"/>
      <c r="K70" s="3"/>
      <c r="L70" s="3"/>
      <c r="M70" s="3"/>
      <c r="N70" s="3"/>
      <c r="O70" s="3"/>
      <c r="P70" s="3"/>
      <c r="Q70" s="3"/>
    </row>
    <row r="71" ht="15.75" customHeight="1">
      <c r="A71" s="8">
        <v>70.0</v>
      </c>
      <c r="B71" s="9" t="s">
        <v>242</v>
      </c>
      <c r="C71" s="9" t="s">
        <v>238</v>
      </c>
      <c r="D71" s="13" t="s">
        <v>243</v>
      </c>
      <c r="E71" s="8">
        <v>5.7005637734E11</v>
      </c>
      <c r="F71" s="9" t="s">
        <v>244</v>
      </c>
      <c r="G71" s="9" t="s">
        <v>12</v>
      </c>
      <c r="H71" s="14" t="s">
        <v>13</v>
      </c>
      <c r="I71" s="3"/>
      <c r="J71" s="3"/>
      <c r="K71" s="3"/>
      <c r="L71" s="3"/>
      <c r="M71" s="3"/>
      <c r="N71" s="3"/>
      <c r="O71" s="3"/>
      <c r="P71" s="3"/>
      <c r="Q71" s="3"/>
    </row>
    <row r="72" ht="15.75" customHeight="1">
      <c r="A72" s="8">
        <v>71.0</v>
      </c>
      <c r="B72" s="9" t="s">
        <v>245</v>
      </c>
      <c r="C72" s="9" t="s">
        <v>150</v>
      </c>
      <c r="D72" s="13" t="s">
        <v>48</v>
      </c>
      <c r="E72" s="8">
        <v>5.70056377342E11</v>
      </c>
      <c r="F72" s="9" t="s">
        <v>246</v>
      </c>
      <c r="G72" s="9" t="s">
        <v>12</v>
      </c>
      <c r="H72" s="14" t="s">
        <v>13</v>
      </c>
      <c r="I72" s="3"/>
      <c r="J72" s="3"/>
      <c r="K72" s="3"/>
      <c r="L72" s="3"/>
      <c r="M72" s="3"/>
      <c r="N72" s="3"/>
      <c r="O72" s="3"/>
      <c r="P72" s="3"/>
      <c r="Q72" s="3"/>
    </row>
    <row r="73" ht="15.75" customHeight="1">
      <c r="A73" s="8">
        <v>72.0</v>
      </c>
      <c r="B73" s="9" t="s">
        <v>198</v>
      </c>
      <c r="C73" s="9" t="s">
        <v>247</v>
      </c>
      <c r="D73" s="13" t="s">
        <v>248</v>
      </c>
      <c r="E73" s="8">
        <v>5.70056377343E11</v>
      </c>
      <c r="F73" s="9" t="s">
        <v>249</v>
      </c>
      <c r="G73" s="9" t="s">
        <v>37</v>
      </c>
      <c r="H73" s="14" t="s">
        <v>13</v>
      </c>
      <c r="I73" s="3"/>
      <c r="J73" s="3"/>
      <c r="K73" s="3"/>
      <c r="L73" s="3"/>
      <c r="M73" s="3"/>
      <c r="N73" s="3"/>
      <c r="O73" s="3"/>
      <c r="P73" s="3"/>
      <c r="Q73" s="3"/>
    </row>
    <row r="74" ht="15.75" customHeight="1">
      <c r="A74" s="8">
        <v>73.0</v>
      </c>
      <c r="B74" s="9" t="s">
        <v>250</v>
      </c>
      <c r="C74" s="9" t="s">
        <v>99</v>
      </c>
      <c r="D74" s="13" t="s">
        <v>94</v>
      </c>
      <c r="E74" s="8">
        <v>5.70056377346E11</v>
      </c>
      <c r="F74" s="9" t="s">
        <v>251</v>
      </c>
      <c r="G74" s="9" t="s">
        <v>12</v>
      </c>
      <c r="H74" s="14" t="s">
        <v>13</v>
      </c>
      <c r="I74" s="3"/>
      <c r="J74" s="3"/>
      <c r="K74" s="3"/>
      <c r="L74" s="3"/>
      <c r="M74" s="3"/>
      <c r="N74" s="3"/>
      <c r="O74" s="3"/>
      <c r="P74" s="3"/>
      <c r="Q74" s="3"/>
    </row>
    <row r="75" ht="15.75" customHeight="1">
      <c r="A75" s="8">
        <v>74.0</v>
      </c>
      <c r="B75" s="9" t="s">
        <v>252</v>
      </c>
      <c r="C75" s="9" t="s">
        <v>202</v>
      </c>
      <c r="D75" s="13" t="s">
        <v>203</v>
      </c>
      <c r="E75" s="8">
        <v>5.70056377347E11</v>
      </c>
      <c r="F75" s="9" t="s">
        <v>253</v>
      </c>
      <c r="G75" s="9" t="s">
        <v>12</v>
      </c>
      <c r="H75" s="14" t="s">
        <v>13</v>
      </c>
      <c r="I75" s="3"/>
      <c r="J75" s="3"/>
      <c r="K75" s="3"/>
      <c r="L75" s="3"/>
      <c r="M75" s="3"/>
      <c r="N75" s="3"/>
      <c r="O75" s="3"/>
      <c r="P75" s="3"/>
      <c r="Q75" s="3"/>
    </row>
    <row r="76" ht="15.75" customHeight="1">
      <c r="A76" s="8">
        <v>75.0</v>
      </c>
      <c r="B76" s="9" t="s">
        <v>254</v>
      </c>
      <c r="C76" s="9" t="s">
        <v>106</v>
      </c>
      <c r="D76" s="13" t="s">
        <v>255</v>
      </c>
      <c r="E76" s="8">
        <v>5.70056377348E11</v>
      </c>
      <c r="F76" s="9" t="s">
        <v>256</v>
      </c>
      <c r="G76" s="9" t="s">
        <v>12</v>
      </c>
      <c r="H76" s="14" t="s">
        <v>13</v>
      </c>
      <c r="I76" s="3"/>
      <c r="J76" s="3"/>
      <c r="K76" s="3"/>
      <c r="L76" s="3"/>
      <c r="M76" s="3"/>
      <c r="N76" s="3"/>
      <c r="O76" s="3"/>
      <c r="P76" s="3"/>
      <c r="Q76" s="3"/>
    </row>
    <row r="77" ht="15.75" customHeight="1">
      <c r="A77" s="8">
        <v>76.0</v>
      </c>
      <c r="B77" s="9" t="s">
        <v>257</v>
      </c>
      <c r="C77" s="9" t="s">
        <v>34</v>
      </c>
      <c r="D77" s="13" t="s">
        <v>35</v>
      </c>
      <c r="E77" s="8">
        <v>5.70056377349E11</v>
      </c>
      <c r="F77" s="9" t="s">
        <v>258</v>
      </c>
      <c r="G77" s="9" t="s">
        <v>50</v>
      </c>
      <c r="H77" s="14" t="s">
        <v>13</v>
      </c>
      <c r="I77" s="3"/>
      <c r="J77" s="3"/>
      <c r="K77" s="3"/>
      <c r="L77" s="3"/>
      <c r="M77" s="3"/>
      <c r="N77" s="3"/>
      <c r="O77" s="3"/>
      <c r="P77" s="3"/>
      <c r="Q77" s="3"/>
    </row>
    <row r="78" ht="15.75" customHeight="1">
      <c r="A78" s="8">
        <v>77.0</v>
      </c>
      <c r="B78" s="9" t="s">
        <v>259</v>
      </c>
      <c r="C78" s="9" t="s">
        <v>260</v>
      </c>
      <c r="D78" s="13" t="s">
        <v>31</v>
      </c>
      <c r="E78" s="8">
        <v>5.70056377351E11</v>
      </c>
      <c r="F78" s="9" t="s">
        <v>261</v>
      </c>
      <c r="G78" s="9" t="s">
        <v>12</v>
      </c>
      <c r="H78" s="14" t="s">
        <v>13</v>
      </c>
      <c r="I78" s="3"/>
      <c r="J78" s="3"/>
      <c r="K78" s="3"/>
      <c r="L78" s="3"/>
      <c r="M78" s="3"/>
      <c r="N78" s="3"/>
      <c r="O78" s="3"/>
      <c r="P78" s="3"/>
      <c r="Q78" s="3"/>
    </row>
    <row r="79" ht="15.75" customHeight="1">
      <c r="A79" s="8">
        <v>78.0</v>
      </c>
      <c r="B79" s="9" t="s">
        <v>262</v>
      </c>
      <c r="C79" s="9" t="s">
        <v>263</v>
      </c>
      <c r="D79" s="13" t="s">
        <v>264</v>
      </c>
      <c r="E79" s="8">
        <v>5.70056377355E11</v>
      </c>
      <c r="F79" s="9" t="s">
        <v>265</v>
      </c>
      <c r="G79" s="9" t="s">
        <v>12</v>
      </c>
      <c r="H79" s="14" t="s">
        <v>13</v>
      </c>
      <c r="I79" s="3"/>
      <c r="J79" s="3"/>
      <c r="K79" s="3"/>
      <c r="L79" s="3"/>
      <c r="M79" s="3"/>
      <c r="N79" s="3"/>
      <c r="O79" s="3"/>
      <c r="P79" s="3"/>
      <c r="Q79" s="3"/>
    </row>
    <row r="80" ht="15.75" customHeight="1">
      <c r="A80" s="8">
        <v>79.0</v>
      </c>
      <c r="B80" s="9" t="s">
        <v>266</v>
      </c>
      <c r="C80" s="9" t="s">
        <v>267</v>
      </c>
      <c r="D80" s="13" t="s">
        <v>268</v>
      </c>
      <c r="E80" s="8">
        <v>5.70056377357E11</v>
      </c>
      <c r="F80" s="9" t="s">
        <v>269</v>
      </c>
      <c r="G80" s="9" t="s">
        <v>12</v>
      </c>
      <c r="H80" s="14" t="s">
        <v>13</v>
      </c>
      <c r="I80" s="3"/>
      <c r="J80" s="3"/>
      <c r="K80" s="3"/>
      <c r="L80" s="3"/>
      <c r="M80" s="3"/>
      <c r="N80" s="3"/>
      <c r="O80" s="3"/>
      <c r="P80" s="3"/>
      <c r="Q80" s="3"/>
    </row>
    <row r="81" ht="15.75" customHeight="1">
      <c r="A81" s="8">
        <v>80.0</v>
      </c>
      <c r="B81" s="9" t="s">
        <v>270</v>
      </c>
      <c r="C81" s="9" t="s">
        <v>271</v>
      </c>
      <c r="D81" s="13" t="s">
        <v>272</v>
      </c>
      <c r="E81" s="8">
        <v>5.70056377361E11</v>
      </c>
      <c r="F81" s="9" t="s">
        <v>273</v>
      </c>
      <c r="G81" s="9" t="s">
        <v>12</v>
      </c>
      <c r="H81" s="14" t="s">
        <v>13</v>
      </c>
      <c r="I81" s="3"/>
      <c r="J81" s="3"/>
      <c r="K81" s="3"/>
      <c r="L81" s="3"/>
      <c r="M81" s="3"/>
      <c r="N81" s="3"/>
      <c r="O81" s="3"/>
      <c r="P81" s="3"/>
      <c r="Q81" s="3"/>
    </row>
    <row r="82" ht="15.75" customHeight="1">
      <c r="A82" s="6">
        <v>81.0</v>
      </c>
      <c r="B82" s="7" t="s">
        <v>274</v>
      </c>
      <c r="C82" s="9"/>
      <c r="D82" s="13"/>
      <c r="E82" s="8"/>
      <c r="F82" s="9"/>
      <c r="G82" s="9"/>
      <c r="H82" s="14"/>
      <c r="I82" s="3"/>
      <c r="J82" s="3"/>
      <c r="K82" s="3"/>
      <c r="L82" s="3"/>
      <c r="M82" s="3"/>
      <c r="N82" s="3"/>
      <c r="O82" s="3"/>
      <c r="P82" s="3"/>
      <c r="Q82" s="3"/>
    </row>
    <row r="83" ht="15.75" customHeight="1">
      <c r="A83" s="8">
        <v>82.0</v>
      </c>
      <c r="B83" s="9" t="s">
        <v>275</v>
      </c>
      <c r="C83" s="9" t="s">
        <v>276</v>
      </c>
      <c r="D83" s="13" t="s">
        <v>277</v>
      </c>
      <c r="E83" s="8">
        <v>5.70056377374E11</v>
      </c>
      <c r="F83" s="9" t="s">
        <v>278</v>
      </c>
      <c r="G83" s="9" t="s">
        <v>12</v>
      </c>
      <c r="H83" s="14" t="s">
        <v>13</v>
      </c>
      <c r="I83" s="3"/>
      <c r="J83" s="3"/>
      <c r="K83" s="3"/>
      <c r="L83" s="3"/>
      <c r="M83" s="3"/>
      <c r="N83" s="3"/>
      <c r="O83" s="3"/>
      <c r="P83" s="3"/>
      <c r="Q83" s="3"/>
    </row>
    <row r="84" ht="15.75" customHeight="1">
      <c r="A84" s="8">
        <v>83.0</v>
      </c>
      <c r="B84" s="9" t="s">
        <v>133</v>
      </c>
      <c r="C84" s="9" t="s">
        <v>279</v>
      </c>
      <c r="D84" s="13" t="s">
        <v>280</v>
      </c>
      <c r="E84" s="8">
        <v>5.70056377375E11</v>
      </c>
      <c r="F84" s="9" t="s">
        <v>281</v>
      </c>
      <c r="G84" s="9" t="s">
        <v>12</v>
      </c>
      <c r="H84" s="14" t="s">
        <v>13</v>
      </c>
      <c r="I84" s="3"/>
      <c r="J84" s="3"/>
      <c r="K84" s="3"/>
      <c r="L84" s="3"/>
      <c r="M84" s="3"/>
      <c r="N84" s="3"/>
      <c r="O84" s="3"/>
      <c r="P84" s="3"/>
      <c r="Q84" s="3"/>
    </row>
    <row r="85" ht="15.75" customHeight="1">
      <c r="A85" s="8">
        <v>84.0</v>
      </c>
      <c r="B85" s="9" t="s">
        <v>124</v>
      </c>
      <c r="C85" s="9" t="s">
        <v>282</v>
      </c>
      <c r="D85" s="13" t="s">
        <v>283</v>
      </c>
      <c r="E85" s="8">
        <v>5.70056377377E11</v>
      </c>
      <c r="F85" s="9" t="s">
        <v>284</v>
      </c>
      <c r="G85" s="9" t="s">
        <v>12</v>
      </c>
      <c r="H85" s="14" t="s">
        <v>13</v>
      </c>
      <c r="I85" s="3"/>
      <c r="J85" s="3"/>
      <c r="K85" s="3"/>
      <c r="L85" s="3"/>
      <c r="M85" s="3"/>
      <c r="N85" s="3"/>
      <c r="O85" s="3"/>
      <c r="P85" s="3"/>
      <c r="Q85" s="3"/>
    </row>
    <row r="86" ht="15.75" customHeight="1">
      <c r="A86" s="8">
        <v>85.0</v>
      </c>
      <c r="B86" s="9" t="s">
        <v>285</v>
      </c>
      <c r="C86" s="9" t="s">
        <v>286</v>
      </c>
      <c r="D86" s="13" t="s">
        <v>287</v>
      </c>
      <c r="E86" s="8">
        <v>5.70056377378E11</v>
      </c>
      <c r="F86" s="9" t="s">
        <v>288</v>
      </c>
      <c r="G86" s="9" t="s">
        <v>12</v>
      </c>
      <c r="H86" s="14" t="s">
        <v>13</v>
      </c>
      <c r="I86" s="3"/>
      <c r="J86" s="3"/>
      <c r="K86" s="3"/>
      <c r="L86" s="3"/>
      <c r="M86" s="3"/>
      <c r="N86" s="3"/>
      <c r="O86" s="3"/>
      <c r="P86" s="3"/>
      <c r="Q86" s="3"/>
    </row>
    <row r="87" ht="15.75" customHeight="1">
      <c r="A87" s="8">
        <v>86.0</v>
      </c>
      <c r="B87" s="9" t="s">
        <v>289</v>
      </c>
      <c r="C87" s="9" t="s">
        <v>286</v>
      </c>
      <c r="D87" s="13" t="s">
        <v>287</v>
      </c>
      <c r="E87" s="8">
        <v>5.70056377381E11</v>
      </c>
      <c r="F87" s="9" t="s">
        <v>290</v>
      </c>
      <c r="G87" s="9" t="s">
        <v>12</v>
      </c>
      <c r="H87" s="14" t="s">
        <v>13</v>
      </c>
      <c r="I87" s="3"/>
      <c r="J87" s="3"/>
      <c r="K87" s="3"/>
      <c r="L87" s="3"/>
      <c r="M87" s="3"/>
      <c r="N87" s="3"/>
      <c r="O87" s="3"/>
      <c r="P87" s="3"/>
      <c r="Q87" s="3"/>
    </row>
    <row r="88" ht="15.75" customHeight="1">
      <c r="A88" s="8">
        <v>87.0</v>
      </c>
      <c r="B88" s="9" t="s">
        <v>33</v>
      </c>
      <c r="C88" s="9" t="s">
        <v>276</v>
      </c>
      <c r="D88" s="13" t="s">
        <v>277</v>
      </c>
      <c r="E88" s="8">
        <v>5.70056377384E11</v>
      </c>
      <c r="F88" s="9" t="s">
        <v>291</v>
      </c>
      <c r="G88" s="9" t="s">
        <v>12</v>
      </c>
      <c r="H88" s="14" t="s">
        <v>13</v>
      </c>
      <c r="I88" s="3"/>
      <c r="J88" s="3"/>
      <c r="K88" s="3"/>
      <c r="L88" s="3"/>
      <c r="M88" s="3"/>
      <c r="N88" s="3"/>
      <c r="O88" s="3"/>
      <c r="P88" s="3"/>
      <c r="Q88" s="3"/>
    </row>
    <row r="89" ht="15.75" customHeight="1">
      <c r="A89" s="8">
        <v>88.0</v>
      </c>
      <c r="B89" s="9" t="s">
        <v>23</v>
      </c>
      <c r="C89" s="9" t="s">
        <v>292</v>
      </c>
      <c r="D89" s="13" t="s">
        <v>293</v>
      </c>
      <c r="E89" s="8">
        <v>5.70056377386E11</v>
      </c>
      <c r="F89" s="9" t="s">
        <v>294</v>
      </c>
      <c r="G89" s="9" t="s">
        <v>12</v>
      </c>
      <c r="H89" s="14" t="s">
        <v>13</v>
      </c>
      <c r="I89" s="3"/>
      <c r="J89" s="3"/>
      <c r="K89" s="3"/>
      <c r="L89" s="3"/>
      <c r="M89" s="3"/>
      <c r="N89" s="3"/>
      <c r="O89" s="3"/>
      <c r="P89" s="3"/>
      <c r="Q89" s="3"/>
    </row>
    <row r="90" ht="15.75" customHeight="1">
      <c r="A90" s="8">
        <v>89.0</v>
      </c>
      <c r="B90" s="9" t="s">
        <v>295</v>
      </c>
      <c r="C90" s="9" t="s">
        <v>296</v>
      </c>
      <c r="D90" s="13" t="s">
        <v>297</v>
      </c>
      <c r="E90" s="8">
        <v>5.70056377387E11</v>
      </c>
      <c r="F90" s="9" t="s">
        <v>298</v>
      </c>
      <c r="G90" s="9" t="s">
        <v>12</v>
      </c>
      <c r="H90" s="14" t="s">
        <v>13</v>
      </c>
      <c r="I90" s="3"/>
      <c r="J90" s="3"/>
      <c r="K90" s="3"/>
      <c r="L90" s="3"/>
      <c r="M90" s="3"/>
      <c r="N90" s="3"/>
      <c r="O90" s="3"/>
      <c r="P90" s="3"/>
      <c r="Q90" s="3"/>
    </row>
    <row r="91" ht="15.75" customHeight="1">
      <c r="A91" s="8">
        <v>90.0</v>
      </c>
      <c r="B91" s="9" t="s">
        <v>175</v>
      </c>
      <c r="C91" s="9" t="s">
        <v>266</v>
      </c>
      <c r="D91" s="13" t="s">
        <v>264</v>
      </c>
      <c r="E91" s="8">
        <v>5.70056377388E11</v>
      </c>
      <c r="F91" s="9" t="s">
        <v>299</v>
      </c>
      <c r="G91" s="9" t="s">
        <v>12</v>
      </c>
      <c r="H91" s="14" t="s">
        <v>13</v>
      </c>
      <c r="I91" s="3"/>
      <c r="J91" s="3"/>
      <c r="K91" s="3"/>
      <c r="L91" s="3"/>
      <c r="M91" s="3"/>
      <c r="N91" s="3"/>
      <c r="O91" s="3"/>
      <c r="P91" s="3"/>
      <c r="Q91" s="3"/>
    </row>
    <row r="92" ht="15.75" customHeight="1">
      <c r="A92" s="8">
        <v>91.0</v>
      </c>
      <c r="B92" s="9" t="s">
        <v>300</v>
      </c>
      <c r="C92" s="9" t="s">
        <v>59</v>
      </c>
      <c r="D92" s="13" t="s">
        <v>268</v>
      </c>
      <c r="E92" s="8">
        <v>5.70056377395E11</v>
      </c>
      <c r="F92" s="9" t="s">
        <v>301</v>
      </c>
      <c r="G92" s="9" t="s">
        <v>12</v>
      </c>
      <c r="H92" s="14" t="s">
        <v>13</v>
      </c>
      <c r="I92" s="3"/>
      <c r="J92" s="3"/>
      <c r="K92" s="3"/>
      <c r="L92" s="3"/>
      <c r="M92" s="3"/>
      <c r="N92" s="3"/>
      <c r="O92" s="3"/>
      <c r="P92" s="3"/>
      <c r="Q92" s="3"/>
    </row>
    <row r="93" ht="15.75" customHeight="1">
      <c r="A93" s="8">
        <v>92.0</v>
      </c>
      <c r="B93" s="9" t="s">
        <v>302</v>
      </c>
      <c r="C93" s="9" t="s">
        <v>59</v>
      </c>
      <c r="D93" s="13" t="s">
        <v>268</v>
      </c>
      <c r="E93" s="8">
        <v>5.70056377396E11</v>
      </c>
      <c r="F93" s="9" t="s">
        <v>303</v>
      </c>
      <c r="G93" s="9" t="s">
        <v>12</v>
      </c>
      <c r="H93" s="14" t="s">
        <v>13</v>
      </c>
      <c r="I93" s="3"/>
      <c r="J93" s="3"/>
      <c r="K93" s="3"/>
      <c r="L93" s="3"/>
      <c r="M93" s="3"/>
      <c r="N93" s="3"/>
      <c r="O93" s="3"/>
      <c r="P93" s="3"/>
      <c r="Q93" s="3"/>
    </row>
    <row r="94" ht="15.75" customHeight="1">
      <c r="A94" s="8">
        <v>93.0</v>
      </c>
      <c r="B94" s="9" t="s">
        <v>304</v>
      </c>
      <c r="C94" s="9" t="s">
        <v>305</v>
      </c>
      <c r="D94" s="13" t="s">
        <v>306</v>
      </c>
      <c r="E94" s="8">
        <v>5.70056377398E11</v>
      </c>
      <c r="F94" s="9" t="s">
        <v>307</v>
      </c>
      <c r="G94" s="9" t="s">
        <v>12</v>
      </c>
      <c r="H94" s="14" t="s">
        <v>13</v>
      </c>
      <c r="I94" s="3"/>
      <c r="J94" s="3"/>
      <c r="K94" s="3"/>
      <c r="L94" s="3"/>
      <c r="M94" s="3"/>
      <c r="N94" s="3"/>
      <c r="O94" s="3"/>
      <c r="P94" s="3"/>
      <c r="Q94" s="3"/>
    </row>
    <row r="95" ht="15.75" customHeight="1">
      <c r="A95" s="8">
        <v>94.0</v>
      </c>
      <c r="B95" s="9" t="s">
        <v>308</v>
      </c>
      <c r="C95" s="9" t="s">
        <v>309</v>
      </c>
      <c r="D95" s="13" t="s">
        <v>264</v>
      </c>
      <c r="E95" s="8">
        <v>5.700563774E11</v>
      </c>
      <c r="F95" s="9" t="s">
        <v>310</v>
      </c>
      <c r="G95" s="9" t="s">
        <v>12</v>
      </c>
      <c r="H95" s="14" t="s">
        <v>13</v>
      </c>
      <c r="I95" s="3"/>
      <c r="J95" s="3"/>
      <c r="K95" s="3"/>
      <c r="L95" s="3"/>
      <c r="M95" s="3"/>
      <c r="N95" s="3"/>
      <c r="O95" s="3"/>
      <c r="P95" s="3"/>
      <c r="Q95" s="3"/>
    </row>
    <row r="96" ht="15.75" customHeight="1">
      <c r="A96" s="8">
        <v>95.0</v>
      </c>
      <c r="B96" s="9" t="s">
        <v>311</v>
      </c>
      <c r="C96" s="7" t="s">
        <v>312</v>
      </c>
      <c r="D96" s="13" t="s">
        <v>313</v>
      </c>
      <c r="E96" s="8">
        <v>5.70056377401E11</v>
      </c>
      <c r="F96" s="9" t="s">
        <v>314</v>
      </c>
      <c r="G96" s="9" t="s">
        <v>50</v>
      </c>
      <c r="H96" s="14" t="s">
        <v>13</v>
      </c>
      <c r="I96" s="3"/>
      <c r="J96" s="3"/>
      <c r="K96" s="3"/>
      <c r="L96" s="3"/>
      <c r="M96" s="3"/>
      <c r="N96" s="3"/>
      <c r="O96" s="3"/>
      <c r="P96" s="3"/>
      <c r="Q96" s="3"/>
    </row>
    <row r="97" ht="15.75" customHeight="1">
      <c r="A97" s="8">
        <v>96.0</v>
      </c>
      <c r="B97" s="9" t="s">
        <v>315</v>
      </c>
      <c r="C97" s="9" t="s">
        <v>98</v>
      </c>
      <c r="D97" s="13" t="s">
        <v>316</v>
      </c>
      <c r="E97" s="8">
        <v>5.70056377405E11</v>
      </c>
      <c r="F97" s="9" t="s">
        <v>317</v>
      </c>
      <c r="G97" s="9" t="s">
        <v>12</v>
      </c>
      <c r="H97" s="14" t="s">
        <v>318</v>
      </c>
      <c r="I97" s="3"/>
      <c r="J97" s="3"/>
      <c r="K97" s="3"/>
      <c r="L97" s="3"/>
      <c r="M97" s="3"/>
      <c r="N97" s="3"/>
      <c r="O97" s="3"/>
      <c r="P97" s="3"/>
      <c r="Q97" s="3"/>
    </row>
    <row r="98" ht="15.75" customHeight="1">
      <c r="A98" s="8">
        <v>97.0</v>
      </c>
      <c r="B98" s="9" t="s">
        <v>319</v>
      </c>
      <c r="C98" s="9" t="s">
        <v>320</v>
      </c>
      <c r="D98" s="13" t="s">
        <v>321</v>
      </c>
      <c r="E98" s="8">
        <v>5.7005637741E11</v>
      </c>
      <c r="F98" s="9" t="s">
        <v>322</v>
      </c>
      <c r="G98" s="9" t="s">
        <v>37</v>
      </c>
      <c r="H98" s="14" t="s">
        <v>13</v>
      </c>
      <c r="I98" s="3"/>
      <c r="J98" s="3"/>
      <c r="K98" s="3"/>
      <c r="L98" s="3"/>
      <c r="M98" s="3"/>
      <c r="N98" s="3"/>
      <c r="O98" s="3"/>
      <c r="P98" s="3"/>
      <c r="Q98" s="3"/>
    </row>
    <row r="99" ht="15.75" customHeight="1">
      <c r="A99" s="8">
        <v>98.0</v>
      </c>
      <c r="B99" s="9" t="s">
        <v>323</v>
      </c>
      <c r="C99" s="9" t="s">
        <v>324</v>
      </c>
      <c r="D99" s="13" t="s">
        <v>325</v>
      </c>
      <c r="E99" s="8">
        <v>5.70056377412E11</v>
      </c>
      <c r="F99" s="9" t="s">
        <v>326</v>
      </c>
      <c r="G99" s="9" t="s">
        <v>50</v>
      </c>
      <c r="H99" s="14" t="s">
        <v>13</v>
      </c>
      <c r="I99" s="3"/>
      <c r="J99" s="3"/>
      <c r="K99" s="3"/>
      <c r="L99" s="3"/>
      <c r="M99" s="3"/>
      <c r="N99" s="3"/>
      <c r="O99" s="3"/>
      <c r="P99" s="3"/>
      <c r="Q99" s="3"/>
    </row>
    <row r="100" ht="15.75" customHeight="1">
      <c r="A100" s="8">
        <v>99.0</v>
      </c>
      <c r="B100" s="9" t="s">
        <v>327</v>
      </c>
      <c r="C100" s="9" t="s">
        <v>328</v>
      </c>
      <c r="D100" s="13" t="s">
        <v>329</v>
      </c>
      <c r="E100" s="8">
        <v>5.70056377413E11</v>
      </c>
      <c r="F100" s="9" t="s">
        <v>330</v>
      </c>
      <c r="G100" s="9" t="s">
        <v>12</v>
      </c>
      <c r="H100" s="14" t="s">
        <v>13</v>
      </c>
      <c r="I100" s="3"/>
      <c r="J100" s="3"/>
      <c r="K100" s="3"/>
      <c r="L100" s="3"/>
      <c r="M100" s="3"/>
      <c r="N100" s="3"/>
      <c r="O100" s="3"/>
      <c r="P100" s="3"/>
      <c r="Q100" s="3"/>
    </row>
    <row r="101" ht="15.75" customHeight="1">
      <c r="A101" s="8">
        <v>100.0</v>
      </c>
      <c r="B101" s="9" t="s">
        <v>23</v>
      </c>
      <c r="C101" s="9" t="s">
        <v>331</v>
      </c>
      <c r="D101" s="13" t="s">
        <v>332</v>
      </c>
      <c r="E101" s="8">
        <v>5.70056377416E11</v>
      </c>
      <c r="F101" s="9" t="s">
        <v>333</v>
      </c>
      <c r="G101" s="9" t="s">
        <v>37</v>
      </c>
      <c r="H101" s="14" t="s">
        <v>13</v>
      </c>
      <c r="I101" s="3"/>
      <c r="J101" s="3"/>
      <c r="K101" s="3"/>
      <c r="L101" s="3"/>
      <c r="M101" s="3"/>
      <c r="N101" s="3"/>
      <c r="O101" s="3"/>
      <c r="P101" s="3"/>
      <c r="Q101" s="3"/>
    </row>
    <row r="102" ht="15.75" customHeight="1">
      <c r="A102" s="8">
        <v>101.0</v>
      </c>
      <c r="B102" s="9" t="s">
        <v>334</v>
      </c>
      <c r="C102" s="9" t="s">
        <v>335</v>
      </c>
      <c r="D102" s="13" t="s">
        <v>336</v>
      </c>
      <c r="E102" s="8">
        <v>5.70056377418E11</v>
      </c>
      <c r="F102" s="9" t="s">
        <v>337</v>
      </c>
      <c r="G102" s="9" t="s">
        <v>12</v>
      </c>
      <c r="H102" s="14" t="s">
        <v>338</v>
      </c>
      <c r="I102" s="3"/>
      <c r="J102" s="3"/>
      <c r="K102" s="3"/>
      <c r="L102" s="3"/>
      <c r="M102" s="3"/>
      <c r="N102" s="3"/>
      <c r="O102" s="3"/>
      <c r="P102" s="3"/>
      <c r="Q102" s="3"/>
    </row>
    <row r="103" ht="15.75" customHeight="1">
      <c r="A103" s="8">
        <v>102.0</v>
      </c>
      <c r="B103" s="9" t="s">
        <v>339</v>
      </c>
      <c r="C103" s="9" t="s">
        <v>340</v>
      </c>
      <c r="D103" s="13" t="s">
        <v>293</v>
      </c>
      <c r="E103" s="8">
        <v>5.70056377419E11</v>
      </c>
      <c r="F103" s="9" t="s">
        <v>341</v>
      </c>
      <c r="G103" s="9" t="s">
        <v>12</v>
      </c>
      <c r="H103" s="14" t="s">
        <v>338</v>
      </c>
      <c r="I103" s="3"/>
      <c r="J103" s="3"/>
      <c r="K103" s="3"/>
      <c r="L103" s="3"/>
      <c r="M103" s="3"/>
      <c r="N103" s="3"/>
      <c r="O103" s="3"/>
      <c r="P103" s="3"/>
      <c r="Q103" s="3"/>
    </row>
    <row r="104" ht="15.75" customHeight="1">
      <c r="A104" s="8">
        <v>103.0</v>
      </c>
      <c r="B104" s="9" t="s">
        <v>324</v>
      </c>
      <c r="C104" s="9" t="s">
        <v>342</v>
      </c>
      <c r="D104" s="13" t="s">
        <v>343</v>
      </c>
      <c r="E104" s="8">
        <v>5.70056377421E11</v>
      </c>
      <c r="F104" s="9" t="s">
        <v>344</v>
      </c>
      <c r="G104" s="9" t="s">
        <v>12</v>
      </c>
      <c r="H104" s="14" t="s">
        <v>338</v>
      </c>
      <c r="I104" s="3"/>
      <c r="J104" s="3"/>
      <c r="K104" s="3"/>
      <c r="L104" s="3"/>
      <c r="M104" s="3"/>
      <c r="N104" s="3"/>
      <c r="O104" s="3"/>
      <c r="P104" s="3"/>
      <c r="Q104" s="3"/>
    </row>
    <row r="105" ht="15.75" customHeight="1">
      <c r="A105" s="8">
        <v>104.0</v>
      </c>
      <c r="B105" s="9" t="s">
        <v>345</v>
      </c>
      <c r="C105" s="9" t="s">
        <v>334</v>
      </c>
      <c r="D105" s="13" t="s">
        <v>346</v>
      </c>
      <c r="E105" s="8">
        <v>5.70056377422E11</v>
      </c>
      <c r="F105" s="9" t="s">
        <v>347</v>
      </c>
      <c r="G105" s="9" t="s">
        <v>12</v>
      </c>
      <c r="H105" s="14" t="s">
        <v>13</v>
      </c>
      <c r="I105" s="3"/>
      <c r="J105" s="3"/>
      <c r="K105" s="3"/>
      <c r="L105" s="3"/>
      <c r="M105" s="3"/>
      <c r="N105" s="3"/>
      <c r="O105" s="3"/>
      <c r="P105" s="3"/>
      <c r="Q105" s="3"/>
    </row>
    <row r="106" ht="15.75" customHeight="1">
      <c r="A106" s="8">
        <v>105.0</v>
      </c>
      <c r="B106" s="9" t="s">
        <v>348</v>
      </c>
      <c r="C106" s="3" t="s">
        <v>349</v>
      </c>
      <c r="D106" s="11" t="s">
        <v>350</v>
      </c>
      <c r="E106" s="10">
        <v>5.70056377427E11</v>
      </c>
      <c r="F106" s="3" t="s">
        <v>351</v>
      </c>
      <c r="G106" s="3" t="s">
        <v>12</v>
      </c>
      <c r="H106" s="12" t="s">
        <v>13</v>
      </c>
      <c r="I106" s="3"/>
      <c r="J106" s="3"/>
      <c r="K106" s="3"/>
      <c r="L106" s="3"/>
      <c r="M106" s="3"/>
      <c r="N106" s="3"/>
      <c r="O106" s="3"/>
      <c r="P106" s="3"/>
      <c r="Q106" s="3"/>
    </row>
    <row r="107" ht="15.75" customHeight="1">
      <c r="A107" s="9">
        <v>106.0</v>
      </c>
      <c r="B107" s="9" t="s">
        <v>33</v>
      </c>
      <c r="C107" s="9" t="s">
        <v>349</v>
      </c>
      <c r="D107" s="13" t="s">
        <v>64</v>
      </c>
      <c r="E107" s="9">
        <v>5.70156377828E11</v>
      </c>
      <c r="F107" s="9" t="s">
        <v>352</v>
      </c>
      <c r="G107" s="9" t="s">
        <v>12</v>
      </c>
      <c r="H107" s="9" t="s">
        <v>353</v>
      </c>
      <c r="I107" s="3" t="s">
        <v>354</v>
      </c>
      <c r="J107" s="3" t="s">
        <v>355</v>
      </c>
      <c r="K107" s="3"/>
      <c r="L107" s="3"/>
      <c r="M107" s="3"/>
      <c r="N107" s="3"/>
      <c r="O107" s="3"/>
      <c r="P107" s="3"/>
      <c r="Q107" s="3"/>
    </row>
    <row r="108" ht="15.75" customHeight="1">
      <c r="A108" s="9">
        <v>107.0</v>
      </c>
      <c r="B108" s="9" t="s">
        <v>356</v>
      </c>
      <c r="C108" s="9" t="s">
        <v>357</v>
      </c>
      <c r="D108" s="13" t="s">
        <v>358</v>
      </c>
      <c r="E108" s="9">
        <v>5.70156377835E11</v>
      </c>
      <c r="F108" s="9" t="s">
        <v>359</v>
      </c>
      <c r="G108" s="9" t="s">
        <v>12</v>
      </c>
      <c r="H108" s="9" t="s">
        <v>353</v>
      </c>
      <c r="I108" s="3" t="s">
        <v>354</v>
      </c>
      <c r="J108" s="3" t="s">
        <v>355</v>
      </c>
      <c r="K108" s="3"/>
      <c r="L108" s="3"/>
      <c r="M108" s="3"/>
      <c r="N108" s="3"/>
      <c r="O108" s="3"/>
      <c r="P108" s="3"/>
      <c r="Q108" s="3"/>
    </row>
    <row r="109" ht="15.75" customHeight="1">
      <c r="A109" s="9">
        <v>108.0</v>
      </c>
      <c r="B109" s="9" t="s">
        <v>360</v>
      </c>
      <c r="C109" s="9" t="s">
        <v>361</v>
      </c>
      <c r="D109" s="13" t="s">
        <v>362</v>
      </c>
      <c r="E109" s="9">
        <v>5.70156377838E11</v>
      </c>
      <c r="F109" s="9" t="s">
        <v>363</v>
      </c>
      <c r="G109" s="9" t="s">
        <v>12</v>
      </c>
      <c r="H109" s="9" t="s">
        <v>364</v>
      </c>
      <c r="I109" s="3" t="s">
        <v>354</v>
      </c>
      <c r="J109" s="3" t="s">
        <v>355</v>
      </c>
      <c r="K109" s="3"/>
      <c r="L109" s="3"/>
      <c r="M109" s="3"/>
      <c r="N109" s="3"/>
      <c r="O109" s="3"/>
      <c r="P109" s="3"/>
      <c r="Q109" s="3"/>
    </row>
    <row r="110" ht="15.75" customHeight="1">
      <c r="A110" s="9">
        <v>109.0</v>
      </c>
      <c r="B110" s="9" t="s">
        <v>365</v>
      </c>
      <c r="C110" s="9" t="s">
        <v>87</v>
      </c>
      <c r="D110" s="13" t="s">
        <v>366</v>
      </c>
      <c r="E110" s="9">
        <v>5.70156377841E11</v>
      </c>
      <c r="F110" s="9" t="s">
        <v>367</v>
      </c>
      <c r="G110" s="9" t="s">
        <v>12</v>
      </c>
      <c r="H110" s="9" t="s">
        <v>364</v>
      </c>
      <c r="I110" s="3" t="s">
        <v>354</v>
      </c>
      <c r="J110" s="3" t="s">
        <v>355</v>
      </c>
      <c r="K110" s="3"/>
      <c r="L110" s="3"/>
      <c r="M110" s="3"/>
      <c r="N110" s="3"/>
      <c r="O110" s="3"/>
      <c r="P110" s="3"/>
      <c r="Q110" s="3"/>
    </row>
    <row r="111" ht="15.75" customHeight="1">
      <c r="A111" s="9">
        <v>110.0</v>
      </c>
      <c r="B111" s="9" t="s">
        <v>304</v>
      </c>
      <c r="C111" s="9" t="s">
        <v>368</v>
      </c>
      <c r="D111" s="13" t="s">
        <v>369</v>
      </c>
      <c r="E111" s="9">
        <v>5.70156377842E11</v>
      </c>
      <c r="F111" s="9" t="s">
        <v>370</v>
      </c>
      <c r="G111" s="9" t="s">
        <v>12</v>
      </c>
      <c r="H111" s="9" t="s">
        <v>364</v>
      </c>
      <c r="I111" s="3" t="s">
        <v>354</v>
      </c>
      <c r="J111" s="3" t="s">
        <v>355</v>
      </c>
      <c r="K111" s="3"/>
      <c r="L111" s="3"/>
      <c r="M111" s="3"/>
      <c r="N111" s="3"/>
      <c r="O111" s="3"/>
      <c r="P111" s="3"/>
      <c r="Q111" s="3"/>
    </row>
    <row r="112" ht="15.75" customHeight="1">
      <c r="A112" s="9">
        <v>111.0</v>
      </c>
      <c r="B112" s="9" t="s">
        <v>8</v>
      </c>
      <c r="C112" s="9" t="s">
        <v>361</v>
      </c>
      <c r="D112" s="13" t="s">
        <v>362</v>
      </c>
      <c r="E112" s="9">
        <v>5.70156377845E11</v>
      </c>
      <c r="F112" s="9" t="s">
        <v>371</v>
      </c>
      <c r="G112" s="9" t="s">
        <v>12</v>
      </c>
      <c r="H112" s="9" t="s">
        <v>364</v>
      </c>
      <c r="I112" s="3" t="s">
        <v>354</v>
      </c>
      <c r="J112" s="3" t="s">
        <v>355</v>
      </c>
      <c r="K112" s="3"/>
      <c r="L112" s="3"/>
      <c r="M112" s="3"/>
      <c r="N112" s="3"/>
      <c r="O112" s="3"/>
      <c r="P112" s="3"/>
      <c r="Q112" s="3"/>
    </row>
    <row r="113" ht="15.75" customHeight="1">
      <c r="A113" s="9">
        <v>112.0</v>
      </c>
      <c r="B113" s="9" t="s">
        <v>372</v>
      </c>
      <c r="C113" s="9" t="s">
        <v>373</v>
      </c>
      <c r="D113" s="13" t="s">
        <v>374</v>
      </c>
      <c r="E113" s="9">
        <v>5.70156377846E11</v>
      </c>
      <c r="F113" s="9" t="s">
        <v>375</v>
      </c>
      <c r="G113" s="9" t="s">
        <v>12</v>
      </c>
      <c r="H113" s="9" t="s">
        <v>364</v>
      </c>
      <c r="I113" s="3" t="s">
        <v>354</v>
      </c>
      <c r="J113" s="3" t="s">
        <v>355</v>
      </c>
      <c r="K113" s="3"/>
      <c r="L113" s="3"/>
      <c r="M113" s="3"/>
      <c r="N113" s="3"/>
      <c r="O113" s="3"/>
      <c r="P113" s="3"/>
      <c r="Q113" s="3"/>
    </row>
    <row r="114" ht="15.75" customHeight="1">
      <c r="A114" s="9">
        <v>113.0</v>
      </c>
      <c r="B114" s="9" t="s">
        <v>376</v>
      </c>
      <c r="C114" s="9" t="s">
        <v>151</v>
      </c>
      <c r="D114" s="13" t="s">
        <v>152</v>
      </c>
      <c r="E114" s="9">
        <v>5.70156377849E11</v>
      </c>
      <c r="F114" s="9" t="s">
        <v>377</v>
      </c>
      <c r="G114" s="9" t="s">
        <v>378</v>
      </c>
      <c r="H114" s="9" t="s">
        <v>364</v>
      </c>
      <c r="I114" s="3" t="s">
        <v>354</v>
      </c>
      <c r="J114" s="3" t="s">
        <v>355</v>
      </c>
      <c r="K114" s="3"/>
      <c r="L114" s="3"/>
      <c r="M114" s="3"/>
      <c r="N114" s="3"/>
      <c r="O114" s="3"/>
      <c r="P114" s="3"/>
      <c r="Q114" s="3"/>
    </row>
    <row r="115" ht="15.75" customHeight="1">
      <c r="A115" s="9">
        <v>114.0</v>
      </c>
      <c r="B115" s="9" t="s">
        <v>379</v>
      </c>
      <c r="C115" s="9" t="s">
        <v>380</v>
      </c>
      <c r="D115" s="13" t="s">
        <v>366</v>
      </c>
      <c r="E115" s="9">
        <v>5.7015637785E11</v>
      </c>
      <c r="F115" s="9" t="s">
        <v>326</v>
      </c>
      <c r="G115" s="9" t="s">
        <v>50</v>
      </c>
      <c r="H115" s="9" t="s">
        <v>364</v>
      </c>
      <c r="I115" s="3" t="s">
        <v>354</v>
      </c>
      <c r="J115" s="3" t="s">
        <v>355</v>
      </c>
      <c r="K115" s="3"/>
      <c r="L115" s="3"/>
      <c r="M115" s="3"/>
      <c r="N115" s="3"/>
      <c r="O115" s="3"/>
      <c r="P115" s="3"/>
      <c r="Q115" s="3"/>
    </row>
    <row r="116" ht="15.75" customHeight="1">
      <c r="A116" s="9">
        <v>115.0</v>
      </c>
      <c r="B116" s="9" t="s">
        <v>381</v>
      </c>
      <c r="C116" s="9" t="s">
        <v>382</v>
      </c>
      <c r="D116" s="13" t="s">
        <v>383</v>
      </c>
      <c r="E116" s="9">
        <v>5.70156377851E11</v>
      </c>
      <c r="F116" s="9" t="s">
        <v>384</v>
      </c>
      <c r="G116" s="9" t="s">
        <v>12</v>
      </c>
      <c r="H116" s="9" t="s">
        <v>364</v>
      </c>
      <c r="I116" s="3" t="s">
        <v>354</v>
      </c>
      <c r="J116" s="3" t="s">
        <v>355</v>
      </c>
      <c r="K116" s="3"/>
      <c r="L116" s="3"/>
      <c r="M116" s="3"/>
      <c r="N116" s="3"/>
      <c r="O116" s="3"/>
      <c r="P116" s="3"/>
      <c r="Q116" s="3"/>
    </row>
    <row r="117" ht="15.75" customHeight="1">
      <c r="A117" s="9">
        <v>116.0</v>
      </c>
      <c r="B117" s="9" t="s">
        <v>385</v>
      </c>
      <c r="C117" s="9" t="s">
        <v>386</v>
      </c>
      <c r="D117" s="13" t="s">
        <v>387</v>
      </c>
      <c r="E117" s="9">
        <v>5.70156377852E11</v>
      </c>
      <c r="F117" s="9" t="s">
        <v>388</v>
      </c>
      <c r="G117" s="9" t="s">
        <v>37</v>
      </c>
      <c r="H117" s="9" t="s">
        <v>364</v>
      </c>
      <c r="I117" s="3" t="s">
        <v>354</v>
      </c>
      <c r="J117" s="3" t="s">
        <v>355</v>
      </c>
      <c r="K117" s="3"/>
      <c r="L117" s="3"/>
      <c r="M117" s="3"/>
      <c r="N117" s="3"/>
      <c r="O117" s="3"/>
      <c r="P117" s="3"/>
      <c r="Q117" s="3"/>
    </row>
    <row r="118" ht="15.75" customHeight="1">
      <c r="A118" s="9">
        <v>117.0</v>
      </c>
      <c r="B118" s="9" t="s">
        <v>389</v>
      </c>
      <c r="C118" s="9" t="s">
        <v>390</v>
      </c>
      <c r="D118" s="13" t="s">
        <v>391</v>
      </c>
      <c r="E118" s="9">
        <v>5.7015637786E11</v>
      </c>
      <c r="F118" s="9" t="s">
        <v>392</v>
      </c>
      <c r="G118" s="9" t="s">
        <v>12</v>
      </c>
      <c r="H118" s="9" t="s">
        <v>364</v>
      </c>
      <c r="I118" s="3" t="s">
        <v>354</v>
      </c>
      <c r="J118" s="3" t="s">
        <v>355</v>
      </c>
      <c r="K118" s="3"/>
      <c r="L118" s="3"/>
      <c r="M118" s="3"/>
      <c r="N118" s="3"/>
      <c r="O118" s="3"/>
      <c r="P118" s="3"/>
      <c r="Q118" s="3"/>
    </row>
    <row r="119" ht="15.75" customHeight="1">
      <c r="A119" s="9">
        <v>118.0</v>
      </c>
      <c r="B119" s="9" t="s">
        <v>250</v>
      </c>
      <c r="C119" s="9" t="s">
        <v>393</v>
      </c>
      <c r="D119" s="13" t="s">
        <v>394</v>
      </c>
      <c r="E119" s="9">
        <v>5.70156378004E11</v>
      </c>
      <c r="F119" s="9" t="s">
        <v>395</v>
      </c>
      <c r="G119" s="9" t="s">
        <v>12</v>
      </c>
      <c r="H119" s="9" t="s">
        <v>364</v>
      </c>
      <c r="I119" s="3" t="s">
        <v>354</v>
      </c>
      <c r="J119" s="3" t="s">
        <v>355</v>
      </c>
      <c r="K119" s="3"/>
      <c r="L119" s="3"/>
      <c r="M119" s="3"/>
      <c r="N119" s="3"/>
      <c r="O119" s="3"/>
      <c r="P119" s="3"/>
      <c r="Q119" s="3"/>
    </row>
    <row r="120" ht="15.75" customHeight="1">
      <c r="A120" s="9">
        <v>119.0</v>
      </c>
      <c r="B120" s="9" t="s">
        <v>396</v>
      </c>
      <c r="C120" s="9" t="s">
        <v>397</v>
      </c>
      <c r="D120" s="13" t="s">
        <v>398</v>
      </c>
      <c r="E120" s="9">
        <v>5.70156378007E11</v>
      </c>
      <c r="F120" s="9" t="s">
        <v>399</v>
      </c>
      <c r="G120" s="9" t="s">
        <v>12</v>
      </c>
      <c r="H120" s="9" t="s">
        <v>364</v>
      </c>
      <c r="I120" s="3" t="s">
        <v>354</v>
      </c>
      <c r="J120" s="3" t="s">
        <v>355</v>
      </c>
      <c r="K120" s="3"/>
      <c r="L120" s="3"/>
      <c r="M120" s="3"/>
      <c r="N120" s="3"/>
      <c r="O120" s="3"/>
      <c r="P120" s="3"/>
      <c r="Q120" s="3"/>
    </row>
    <row r="121" ht="15.75" customHeight="1">
      <c r="A121" s="9">
        <v>120.0</v>
      </c>
      <c r="B121" s="9" t="s">
        <v>400</v>
      </c>
      <c r="C121" s="9" t="s">
        <v>401</v>
      </c>
      <c r="D121" s="13" t="s">
        <v>402</v>
      </c>
      <c r="E121" s="9">
        <v>5.70156378009E11</v>
      </c>
      <c r="F121" s="9" t="s">
        <v>403</v>
      </c>
      <c r="G121" s="9" t="s">
        <v>12</v>
      </c>
      <c r="H121" s="9" t="s">
        <v>364</v>
      </c>
      <c r="I121" s="3" t="s">
        <v>354</v>
      </c>
      <c r="J121" s="3" t="s">
        <v>355</v>
      </c>
      <c r="K121" s="3"/>
      <c r="L121" s="3"/>
      <c r="M121" s="3"/>
      <c r="N121" s="3"/>
      <c r="O121" s="3"/>
      <c r="P121" s="3"/>
      <c r="Q121" s="3"/>
    </row>
    <row r="122" ht="15.75" customHeight="1">
      <c r="A122" s="15">
        <v>121.0</v>
      </c>
      <c r="B122" s="16" t="s">
        <v>404</v>
      </c>
      <c r="C122" s="16" t="s">
        <v>397</v>
      </c>
      <c r="D122" s="17" t="s">
        <v>398</v>
      </c>
      <c r="E122" s="16">
        <v>5.70156378013E11</v>
      </c>
      <c r="F122" s="16" t="s">
        <v>405</v>
      </c>
      <c r="G122" s="16" t="s">
        <v>12</v>
      </c>
      <c r="H122" s="18" t="s">
        <v>364</v>
      </c>
      <c r="I122" s="3" t="s">
        <v>354</v>
      </c>
      <c r="J122" s="3" t="s">
        <v>355</v>
      </c>
      <c r="K122" s="3"/>
      <c r="L122" s="3"/>
      <c r="M122" s="3"/>
      <c r="N122" s="3"/>
      <c r="O122" s="3"/>
      <c r="P122" s="3"/>
      <c r="Q122" s="3"/>
    </row>
    <row r="123" ht="15.75" customHeight="1">
      <c r="A123" s="15">
        <v>122.0</v>
      </c>
      <c r="B123" s="16" t="s">
        <v>406</v>
      </c>
      <c r="C123" s="16" t="s">
        <v>407</v>
      </c>
      <c r="D123" s="17" t="s">
        <v>408</v>
      </c>
      <c r="E123" s="16">
        <v>5.70156378015E11</v>
      </c>
      <c r="F123" s="16" t="s">
        <v>409</v>
      </c>
      <c r="G123" s="16" t="s">
        <v>12</v>
      </c>
      <c r="H123" s="18" t="s">
        <v>364</v>
      </c>
      <c r="I123" s="3" t="s">
        <v>354</v>
      </c>
      <c r="J123" s="3" t="s">
        <v>355</v>
      </c>
      <c r="K123" s="3"/>
      <c r="L123" s="3"/>
      <c r="M123" s="3"/>
      <c r="N123" s="3"/>
      <c r="O123" s="3"/>
      <c r="P123" s="3"/>
      <c r="Q123" s="3"/>
    </row>
    <row r="124" ht="15.75" customHeight="1">
      <c r="A124" s="15">
        <v>123.0</v>
      </c>
      <c r="B124" s="16" t="s">
        <v>410</v>
      </c>
      <c r="C124" s="16" t="s">
        <v>411</v>
      </c>
      <c r="D124" s="17" t="s">
        <v>412</v>
      </c>
      <c r="E124" s="16">
        <v>5.70156378018E11</v>
      </c>
      <c r="F124" s="16" t="s">
        <v>413</v>
      </c>
      <c r="G124" s="16" t="s">
        <v>12</v>
      </c>
      <c r="H124" s="18" t="s">
        <v>364</v>
      </c>
      <c r="I124" s="3" t="s">
        <v>414</v>
      </c>
      <c r="J124" s="3" t="s">
        <v>354</v>
      </c>
      <c r="K124" s="3" t="s">
        <v>355</v>
      </c>
      <c r="L124" s="3"/>
      <c r="M124" s="3"/>
      <c r="N124" s="3"/>
      <c r="O124" s="3"/>
      <c r="P124" s="3"/>
      <c r="Q124" s="3"/>
    </row>
    <row r="125" ht="15.75" customHeight="1">
      <c r="A125" s="15">
        <v>124.0</v>
      </c>
      <c r="B125" s="19" t="s">
        <v>415</v>
      </c>
      <c r="C125" s="16" t="s">
        <v>416</v>
      </c>
      <c r="D125" s="17" t="s">
        <v>417</v>
      </c>
      <c r="E125" s="16">
        <v>5.70156378021E11</v>
      </c>
      <c r="F125" s="16" t="s">
        <v>418</v>
      </c>
      <c r="G125" s="16" t="s">
        <v>12</v>
      </c>
      <c r="H125" s="18" t="s">
        <v>364</v>
      </c>
      <c r="I125" s="3" t="s">
        <v>354</v>
      </c>
      <c r="J125" s="3" t="s">
        <v>355</v>
      </c>
      <c r="K125" s="3"/>
      <c r="L125" s="3"/>
      <c r="M125" s="3"/>
      <c r="N125" s="3"/>
      <c r="O125" s="3"/>
      <c r="P125" s="3"/>
      <c r="Q125" s="3"/>
    </row>
    <row r="126" ht="15.75" customHeight="1">
      <c r="A126" s="15">
        <v>125.0</v>
      </c>
      <c r="B126" s="16" t="s">
        <v>214</v>
      </c>
      <c r="C126" s="16" t="s">
        <v>410</v>
      </c>
      <c r="D126" s="17" t="s">
        <v>419</v>
      </c>
      <c r="E126" s="16">
        <v>5.70156378024E11</v>
      </c>
      <c r="F126" s="16" t="s">
        <v>420</v>
      </c>
      <c r="G126" s="16" t="s">
        <v>12</v>
      </c>
      <c r="H126" s="18" t="s">
        <v>364</v>
      </c>
      <c r="I126" s="3" t="s">
        <v>354</v>
      </c>
      <c r="J126" s="3" t="s">
        <v>355</v>
      </c>
      <c r="K126" s="3"/>
      <c r="L126" s="3"/>
      <c r="M126" s="3"/>
      <c r="N126" s="3"/>
      <c r="O126" s="3"/>
      <c r="P126" s="3"/>
      <c r="Q126" s="3"/>
    </row>
    <row r="127" ht="15.75" customHeight="1">
      <c r="A127" s="15">
        <v>126.0</v>
      </c>
      <c r="B127" s="16" t="s">
        <v>421</v>
      </c>
      <c r="C127" s="16" t="s">
        <v>416</v>
      </c>
      <c r="D127" s="17" t="s">
        <v>422</v>
      </c>
      <c r="E127" s="16">
        <v>5.70156378026E11</v>
      </c>
      <c r="F127" s="16" t="s">
        <v>423</v>
      </c>
      <c r="G127" s="16" t="s">
        <v>37</v>
      </c>
      <c r="H127" s="18" t="s">
        <v>364</v>
      </c>
      <c r="I127" s="3" t="s">
        <v>354</v>
      </c>
      <c r="J127" s="3" t="s">
        <v>355</v>
      </c>
      <c r="K127" s="3"/>
      <c r="L127" s="3"/>
      <c r="M127" s="3"/>
      <c r="N127" s="3"/>
      <c r="O127" s="3"/>
      <c r="P127" s="3"/>
      <c r="Q127" s="3"/>
    </row>
    <row r="128" ht="15.75" customHeight="1">
      <c r="A128" s="15">
        <v>127.0</v>
      </c>
      <c r="B128" s="16" t="s">
        <v>424</v>
      </c>
      <c r="C128" s="16" t="s">
        <v>166</v>
      </c>
      <c r="D128" s="17" t="s">
        <v>425</v>
      </c>
      <c r="E128" s="16">
        <v>5.70156378029E11</v>
      </c>
      <c r="F128" s="16" t="s">
        <v>426</v>
      </c>
      <c r="G128" s="16" t="s">
        <v>37</v>
      </c>
      <c r="H128" s="18" t="s">
        <v>364</v>
      </c>
      <c r="I128" s="3" t="s">
        <v>354</v>
      </c>
      <c r="J128" s="3" t="s">
        <v>355</v>
      </c>
      <c r="K128" s="3"/>
      <c r="L128" s="3"/>
      <c r="M128" s="3"/>
      <c r="N128" s="3"/>
      <c r="O128" s="3"/>
      <c r="P128" s="3"/>
      <c r="Q128" s="3"/>
    </row>
    <row r="129" ht="15.75" customHeight="1">
      <c r="A129" s="20">
        <v>128.0</v>
      </c>
      <c r="B129" s="19" t="s">
        <v>427</v>
      </c>
      <c r="C129" s="16"/>
      <c r="D129" s="17"/>
      <c r="E129" s="16"/>
      <c r="F129" s="16"/>
      <c r="G129" s="16"/>
      <c r="H129" s="18"/>
      <c r="I129" s="3"/>
      <c r="J129" s="3"/>
      <c r="K129" s="3"/>
      <c r="L129" s="3"/>
      <c r="M129" s="3"/>
      <c r="N129" s="3"/>
      <c r="O129" s="3"/>
      <c r="P129" s="3"/>
      <c r="Q129" s="3"/>
    </row>
    <row r="130" ht="15.75" customHeight="1">
      <c r="A130" s="15">
        <v>129.0</v>
      </c>
      <c r="B130" s="16" t="s">
        <v>128</v>
      </c>
      <c r="C130" s="16" t="s">
        <v>428</v>
      </c>
      <c r="D130" s="17" t="s">
        <v>429</v>
      </c>
      <c r="E130" s="16">
        <v>5.70156378031E11</v>
      </c>
      <c r="F130" s="16" t="s">
        <v>430</v>
      </c>
      <c r="G130" s="16" t="s">
        <v>12</v>
      </c>
      <c r="H130" s="18" t="s">
        <v>364</v>
      </c>
      <c r="I130" s="3" t="s">
        <v>354</v>
      </c>
      <c r="J130" s="3" t="s">
        <v>355</v>
      </c>
      <c r="K130" s="3"/>
      <c r="L130" s="3"/>
      <c r="M130" s="3"/>
      <c r="N130" s="3"/>
      <c r="O130" s="3"/>
      <c r="P130" s="3"/>
      <c r="Q130" s="3"/>
    </row>
    <row r="131" ht="15.75" customHeight="1">
      <c r="A131" s="15">
        <v>130.0</v>
      </c>
      <c r="B131" s="16" t="s">
        <v>431</v>
      </c>
      <c r="C131" s="16" t="s">
        <v>432</v>
      </c>
      <c r="D131" s="17" t="s">
        <v>433</v>
      </c>
      <c r="E131" s="16">
        <v>5.70156378034E11</v>
      </c>
      <c r="F131" s="16" t="s">
        <v>434</v>
      </c>
      <c r="G131" s="16" t="s">
        <v>12</v>
      </c>
      <c r="H131" s="18" t="s">
        <v>364</v>
      </c>
      <c r="I131" s="3" t="s">
        <v>354</v>
      </c>
      <c r="J131" s="3" t="s">
        <v>355</v>
      </c>
      <c r="K131" s="3"/>
      <c r="L131" s="3"/>
      <c r="M131" s="3"/>
      <c r="N131" s="3"/>
      <c r="O131" s="3"/>
      <c r="P131" s="3"/>
      <c r="Q131" s="3"/>
    </row>
    <row r="132" ht="15.75" customHeight="1">
      <c r="A132" s="20">
        <v>131.0</v>
      </c>
      <c r="B132" s="19" t="s">
        <v>435</v>
      </c>
      <c r="C132" s="16"/>
      <c r="D132" s="17"/>
      <c r="E132" s="16"/>
      <c r="F132" s="16"/>
      <c r="G132" s="16"/>
      <c r="H132" s="18"/>
      <c r="I132" s="3"/>
      <c r="J132" s="3"/>
      <c r="K132" s="3"/>
      <c r="L132" s="3"/>
      <c r="M132" s="3"/>
      <c r="N132" s="3"/>
      <c r="O132" s="3"/>
      <c r="P132" s="3"/>
      <c r="Q132" s="3"/>
    </row>
    <row r="133" ht="15.75" customHeight="1">
      <c r="A133" s="15">
        <v>132.0</v>
      </c>
      <c r="B133" s="16" t="s">
        <v>436</v>
      </c>
      <c r="C133" s="16" t="s">
        <v>431</v>
      </c>
      <c r="D133" s="17" t="s">
        <v>437</v>
      </c>
      <c r="E133" s="16">
        <v>5.70156378036E11</v>
      </c>
      <c r="F133" s="16" t="s">
        <v>423</v>
      </c>
      <c r="G133" s="16" t="s">
        <v>12</v>
      </c>
      <c r="H133" s="18" t="s">
        <v>364</v>
      </c>
      <c r="I133" s="3" t="s">
        <v>354</v>
      </c>
      <c r="J133" s="3" t="s">
        <v>355</v>
      </c>
      <c r="K133" s="3"/>
      <c r="L133" s="3"/>
      <c r="M133" s="3"/>
      <c r="N133" s="3"/>
      <c r="O133" s="3"/>
      <c r="P133" s="3"/>
      <c r="Q133" s="3"/>
    </row>
    <row r="134" ht="15.75" customHeight="1">
      <c r="A134" s="15">
        <v>133.0</v>
      </c>
      <c r="B134" s="16" t="s">
        <v>438</v>
      </c>
      <c r="C134" s="16" t="s">
        <v>439</v>
      </c>
      <c r="D134" s="17" t="s">
        <v>16</v>
      </c>
      <c r="E134" s="16">
        <v>5.70156378042E11</v>
      </c>
      <c r="F134" s="16" t="s">
        <v>440</v>
      </c>
      <c r="G134" s="16" t="s">
        <v>37</v>
      </c>
      <c r="H134" s="18" t="s">
        <v>364</v>
      </c>
      <c r="I134" s="3" t="s">
        <v>354</v>
      </c>
      <c r="J134" s="3" t="s">
        <v>355</v>
      </c>
      <c r="K134" s="3"/>
      <c r="L134" s="3"/>
      <c r="M134" s="3"/>
      <c r="N134" s="3"/>
      <c r="O134" s="3"/>
      <c r="P134" s="3"/>
      <c r="Q134" s="3"/>
    </row>
    <row r="135" ht="15.75" customHeight="1">
      <c r="A135" s="15">
        <v>134.0</v>
      </c>
      <c r="B135" s="16" t="s">
        <v>441</v>
      </c>
      <c r="C135" s="16" t="s">
        <v>24</v>
      </c>
      <c r="D135" s="17" t="s">
        <v>442</v>
      </c>
      <c r="E135" s="16">
        <v>5.70156378043E11</v>
      </c>
      <c r="F135" s="16" t="s">
        <v>443</v>
      </c>
      <c r="G135" s="16" t="s">
        <v>12</v>
      </c>
      <c r="H135" s="18" t="s">
        <v>364</v>
      </c>
      <c r="I135" s="3" t="s">
        <v>354</v>
      </c>
      <c r="J135" s="3" t="s">
        <v>355</v>
      </c>
      <c r="K135" s="3"/>
      <c r="L135" s="3"/>
      <c r="M135" s="3"/>
      <c r="N135" s="3"/>
      <c r="O135" s="3"/>
      <c r="P135" s="3"/>
      <c r="Q135" s="3"/>
    </row>
    <row r="136" ht="15.75" customHeight="1">
      <c r="A136" s="15">
        <v>135.0</v>
      </c>
      <c r="B136" s="16" t="s">
        <v>444</v>
      </c>
      <c r="C136" s="16" t="s">
        <v>340</v>
      </c>
      <c r="D136" s="17" t="s">
        <v>445</v>
      </c>
      <c r="E136" s="16">
        <v>5.70156378044E11</v>
      </c>
      <c r="F136" s="16" t="s">
        <v>446</v>
      </c>
      <c r="G136" s="16" t="s">
        <v>12</v>
      </c>
      <c r="H136" s="18" t="s">
        <v>364</v>
      </c>
      <c r="I136" s="3" t="s">
        <v>354</v>
      </c>
      <c r="J136" s="3" t="s">
        <v>355</v>
      </c>
      <c r="K136" s="3"/>
      <c r="L136" s="3"/>
      <c r="M136" s="3"/>
      <c r="N136" s="3"/>
      <c r="O136" s="3"/>
      <c r="P136" s="3"/>
      <c r="Q136" s="3"/>
    </row>
    <row r="137" ht="15.75" customHeight="1">
      <c r="A137" s="15">
        <v>136.0</v>
      </c>
      <c r="B137" s="16" t="s">
        <v>447</v>
      </c>
      <c r="C137" s="16" t="s">
        <v>448</v>
      </c>
      <c r="D137" s="17" t="s">
        <v>445</v>
      </c>
      <c r="E137" s="16">
        <v>5.70156378048E11</v>
      </c>
      <c r="F137" s="16" t="s">
        <v>449</v>
      </c>
      <c r="G137" s="16" t="s">
        <v>12</v>
      </c>
      <c r="H137" s="18" t="s">
        <v>364</v>
      </c>
      <c r="I137" s="3" t="s">
        <v>354</v>
      </c>
      <c r="J137" s="3" t="s">
        <v>355</v>
      </c>
      <c r="K137" s="3"/>
      <c r="L137" s="3"/>
      <c r="M137" s="3"/>
      <c r="N137" s="3"/>
      <c r="O137" s="3"/>
      <c r="P137" s="3"/>
      <c r="Q137" s="3"/>
    </row>
    <row r="138" ht="15.75" customHeight="1">
      <c r="A138" s="15">
        <v>137.0</v>
      </c>
      <c r="B138" s="16" t="s">
        <v>450</v>
      </c>
      <c r="C138" s="16" t="s">
        <v>447</v>
      </c>
      <c r="D138" s="17" t="s">
        <v>451</v>
      </c>
      <c r="E138" s="16">
        <v>5.70156378049E11</v>
      </c>
      <c r="F138" s="16" t="s">
        <v>452</v>
      </c>
      <c r="G138" s="16" t="s">
        <v>12</v>
      </c>
      <c r="H138" s="18" t="s">
        <v>364</v>
      </c>
      <c r="I138" s="3" t="s">
        <v>354</v>
      </c>
      <c r="J138" s="3" t="s">
        <v>355</v>
      </c>
      <c r="K138" s="3"/>
      <c r="L138" s="3"/>
      <c r="M138" s="3"/>
      <c r="N138" s="3"/>
      <c r="O138" s="3"/>
      <c r="P138" s="3"/>
      <c r="Q138" s="3"/>
    </row>
    <row r="139" ht="15.75" customHeight="1">
      <c r="A139" s="15">
        <v>138.0</v>
      </c>
      <c r="B139" s="16" t="s">
        <v>453</v>
      </c>
      <c r="C139" s="16" t="s">
        <v>260</v>
      </c>
      <c r="D139" s="17" t="s">
        <v>454</v>
      </c>
      <c r="E139" s="16">
        <v>5.70156378056E11</v>
      </c>
      <c r="F139" s="16" t="s">
        <v>455</v>
      </c>
      <c r="G139" s="16" t="s">
        <v>12</v>
      </c>
      <c r="H139" s="18" t="s">
        <v>364</v>
      </c>
      <c r="I139" s="3" t="s">
        <v>354</v>
      </c>
      <c r="J139" s="3" t="s">
        <v>355</v>
      </c>
      <c r="K139" s="3"/>
      <c r="L139" s="3"/>
      <c r="M139" s="3"/>
      <c r="N139" s="3"/>
      <c r="O139" s="3"/>
      <c r="P139" s="3"/>
      <c r="Q139" s="3"/>
    </row>
    <row r="140" ht="15.75" customHeight="1">
      <c r="A140" s="15">
        <v>139.0</v>
      </c>
      <c r="B140" s="16" t="s">
        <v>456</v>
      </c>
      <c r="C140" s="16" t="s">
        <v>457</v>
      </c>
      <c r="D140" s="17" t="s">
        <v>458</v>
      </c>
      <c r="E140" s="16">
        <v>5.70156378058E11</v>
      </c>
      <c r="F140" s="16" t="s">
        <v>459</v>
      </c>
      <c r="G140" s="16" t="s">
        <v>12</v>
      </c>
      <c r="H140" s="18" t="s">
        <v>364</v>
      </c>
      <c r="I140" s="3" t="s">
        <v>354</v>
      </c>
      <c r="J140" s="3" t="s">
        <v>355</v>
      </c>
      <c r="K140" s="3"/>
      <c r="L140" s="3"/>
      <c r="M140" s="3"/>
      <c r="N140" s="3"/>
      <c r="O140" s="3"/>
      <c r="P140" s="3"/>
      <c r="Q140" s="3"/>
    </row>
    <row r="141" ht="15.75" customHeight="1">
      <c r="A141" s="15">
        <v>140.0</v>
      </c>
      <c r="B141" s="16" t="s">
        <v>460</v>
      </c>
      <c r="C141" s="16" t="s">
        <v>461</v>
      </c>
      <c r="D141" s="17" t="s">
        <v>462</v>
      </c>
      <c r="E141" s="16">
        <v>5.70156378061E11</v>
      </c>
      <c r="F141" s="16" t="s">
        <v>463</v>
      </c>
      <c r="G141" s="16" t="s">
        <v>12</v>
      </c>
      <c r="H141" s="18" t="s">
        <v>364</v>
      </c>
      <c r="I141" s="3" t="s">
        <v>414</v>
      </c>
      <c r="J141" s="3" t="s">
        <v>354</v>
      </c>
      <c r="K141" s="3" t="s">
        <v>355</v>
      </c>
      <c r="L141" s="3"/>
      <c r="M141" s="3"/>
      <c r="N141" s="3"/>
      <c r="O141" s="3"/>
      <c r="P141" s="3"/>
      <c r="Q141" s="3"/>
    </row>
    <row r="142" ht="15.75" customHeight="1">
      <c r="A142" s="15">
        <v>141.0</v>
      </c>
      <c r="B142" s="16" t="s">
        <v>464</v>
      </c>
      <c r="C142" s="16" t="s">
        <v>465</v>
      </c>
      <c r="D142" s="17" t="s">
        <v>466</v>
      </c>
      <c r="E142" s="16">
        <v>5.70156378062E11</v>
      </c>
      <c r="F142" s="16" t="s">
        <v>467</v>
      </c>
      <c r="G142" s="16" t="s">
        <v>12</v>
      </c>
      <c r="H142" s="18" t="s">
        <v>364</v>
      </c>
      <c r="I142" s="3" t="s">
        <v>354</v>
      </c>
      <c r="J142" s="3" t="s">
        <v>355</v>
      </c>
      <c r="K142" s="3"/>
      <c r="L142" s="3"/>
      <c r="M142" s="3"/>
      <c r="N142" s="3"/>
      <c r="O142" s="3"/>
      <c r="P142" s="3"/>
      <c r="Q142" s="3"/>
    </row>
    <row r="143" ht="15.75" customHeight="1">
      <c r="A143" s="15">
        <v>142.0</v>
      </c>
      <c r="B143" s="16" t="s">
        <v>468</v>
      </c>
      <c r="C143" s="16" t="s">
        <v>469</v>
      </c>
      <c r="D143" s="17" t="s">
        <v>470</v>
      </c>
      <c r="E143" s="16">
        <v>5.70156378064E11</v>
      </c>
      <c r="F143" s="16" t="s">
        <v>434</v>
      </c>
      <c r="G143" s="16" t="s">
        <v>37</v>
      </c>
      <c r="H143" s="18" t="s">
        <v>364</v>
      </c>
      <c r="I143" s="3" t="s">
        <v>354</v>
      </c>
      <c r="J143" s="3" t="s">
        <v>355</v>
      </c>
      <c r="K143" s="3"/>
      <c r="L143" s="3"/>
      <c r="M143" s="3"/>
      <c r="N143" s="3"/>
      <c r="O143" s="3"/>
      <c r="P143" s="3"/>
      <c r="Q143" s="3"/>
    </row>
    <row r="144" ht="15.75" customHeight="1">
      <c r="A144" s="15">
        <v>143.0</v>
      </c>
      <c r="B144" s="16" t="s">
        <v>471</v>
      </c>
      <c r="C144" s="16" t="s">
        <v>472</v>
      </c>
      <c r="D144" s="17" t="s">
        <v>473</v>
      </c>
      <c r="E144" s="16">
        <v>5.70156378065E11</v>
      </c>
      <c r="F144" s="16" t="s">
        <v>110</v>
      </c>
      <c r="G144" s="16" t="s">
        <v>12</v>
      </c>
      <c r="H144" s="18" t="s">
        <v>364</v>
      </c>
      <c r="I144" s="3" t="s">
        <v>354</v>
      </c>
      <c r="J144" s="3" t="s">
        <v>355</v>
      </c>
      <c r="K144" s="3"/>
      <c r="L144" s="3"/>
      <c r="M144" s="3"/>
      <c r="N144" s="3"/>
      <c r="O144" s="3"/>
      <c r="P144" s="3"/>
      <c r="Q144" s="3"/>
    </row>
    <row r="145" ht="15.75" customHeight="1">
      <c r="A145" s="15">
        <v>144.0</v>
      </c>
      <c r="B145" s="16" t="s">
        <v>474</v>
      </c>
      <c r="C145" s="19" t="s">
        <v>475</v>
      </c>
      <c r="D145" s="17" t="s">
        <v>445</v>
      </c>
      <c r="E145" s="16">
        <v>5.70156378066E11</v>
      </c>
      <c r="F145" s="16" t="s">
        <v>476</v>
      </c>
      <c r="G145" s="16" t="s">
        <v>12</v>
      </c>
      <c r="H145" s="18" t="s">
        <v>364</v>
      </c>
      <c r="I145" s="3" t="s">
        <v>354</v>
      </c>
      <c r="J145" s="3" t="s">
        <v>355</v>
      </c>
      <c r="K145" s="3"/>
      <c r="L145" s="3"/>
      <c r="M145" s="3"/>
      <c r="N145" s="3"/>
      <c r="O145" s="3"/>
      <c r="P145" s="3"/>
      <c r="Q145" s="3"/>
    </row>
    <row r="146" ht="15.75" customHeight="1">
      <c r="A146" s="15">
        <v>145.0</v>
      </c>
      <c r="B146" s="16" t="s">
        <v>477</v>
      </c>
      <c r="C146" s="16" t="s">
        <v>469</v>
      </c>
      <c r="D146" s="17" t="s">
        <v>470</v>
      </c>
      <c r="E146" s="16">
        <v>5.70156378067E11</v>
      </c>
      <c r="F146" s="16" t="s">
        <v>326</v>
      </c>
      <c r="G146" s="16" t="s">
        <v>12</v>
      </c>
      <c r="H146" s="18" t="s">
        <v>364</v>
      </c>
      <c r="I146" s="3" t="s">
        <v>354</v>
      </c>
      <c r="J146" s="3" t="s">
        <v>355</v>
      </c>
      <c r="K146" s="3"/>
      <c r="L146" s="3"/>
      <c r="M146" s="3"/>
      <c r="N146" s="3"/>
      <c r="O146" s="3"/>
      <c r="P146" s="3"/>
      <c r="Q146" s="3"/>
    </row>
    <row r="147" ht="15.75" customHeight="1">
      <c r="A147" s="15">
        <v>146.0</v>
      </c>
      <c r="B147" s="16" t="s">
        <v>478</v>
      </c>
      <c r="C147" s="16" t="s">
        <v>479</v>
      </c>
      <c r="D147" s="17" t="s">
        <v>480</v>
      </c>
      <c r="E147" s="16">
        <v>5.70156378071E11</v>
      </c>
      <c r="F147" s="16" t="s">
        <v>481</v>
      </c>
      <c r="G147" s="16" t="s">
        <v>12</v>
      </c>
      <c r="H147" s="18" t="s">
        <v>364</v>
      </c>
      <c r="I147" s="3" t="s">
        <v>354</v>
      </c>
      <c r="J147" s="3" t="s">
        <v>355</v>
      </c>
      <c r="K147" s="3"/>
      <c r="L147" s="3"/>
      <c r="M147" s="3"/>
      <c r="N147" s="3"/>
      <c r="O147" s="3"/>
      <c r="P147" s="3"/>
      <c r="Q147" s="3"/>
    </row>
    <row r="148" ht="15.75" customHeight="1">
      <c r="A148" s="15">
        <v>147.0</v>
      </c>
      <c r="B148" s="16" t="s">
        <v>482</v>
      </c>
      <c r="C148" s="16" t="s">
        <v>479</v>
      </c>
      <c r="D148" s="17" t="s">
        <v>480</v>
      </c>
      <c r="E148" s="16">
        <v>5.70156378072E11</v>
      </c>
      <c r="F148" s="16" t="s">
        <v>483</v>
      </c>
      <c r="G148" s="16" t="s">
        <v>12</v>
      </c>
      <c r="H148" s="18" t="s">
        <v>484</v>
      </c>
      <c r="I148" s="3" t="s">
        <v>354</v>
      </c>
      <c r="J148" s="3" t="s">
        <v>355</v>
      </c>
      <c r="K148" s="3"/>
      <c r="L148" s="3"/>
      <c r="M148" s="3"/>
      <c r="N148" s="3"/>
      <c r="O148" s="3"/>
      <c r="P148" s="3"/>
      <c r="Q148" s="3"/>
    </row>
    <row r="149" ht="15.75" customHeight="1">
      <c r="A149" s="15">
        <v>148.0</v>
      </c>
      <c r="B149" s="16" t="s">
        <v>485</v>
      </c>
      <c r="C149" s="16" t="s">
        <v>56</v>
      </c>
      <c r="D149" s="17" t="s">
        <v>57</v>
      </c>
      <c r="E149" s="16">
        <v>5.70156378074E11</v>
      </c>
      <c r="F149" s="16" t="s">
        <v>486</v>
      </c>
      <c r="G149" s="16" t="s">
        <v>12</v>
      </c>
      <c r="H149" s="18" t="s">
        <v>364</v>
      </c>
      <c r="I149" s="3" t="s">
        <v>354</v>
      </c>
      <c r="J149" s="3" t="s">
        <v>355</v>
      </c>
      <c r="K149" s="3"/>
      <c r="L149" s="3"/>
      <c r="M149" s="3"/>
      <c r="N149" s="3"/>
      <c r="O149" s="3"/>
      <c r="P149" s="3"/>
      <c r="Q149" s="3"/>
    </row>
    <row r="150" ht="15.75" customHeight="1">
      <c r="A150" s="15">
        <v>149.0</v>
      </c>
      <c r="B150" s="16" t="s">
        <v>124</v>
      </c>
      <c r="C150" s="16" t="s">
        <v>56</v>
      </c>
      <c r="D150" s="17" t="s">
        <v>57</v>
      </c>
      <c r="E150" s="16">
        <v>5.70156378075E11</v>
      </c>
      <c r="F150" s="16" t="s">
        <v>487</v>
      </c>
      <c r="G150" s="16" t="s">
        <v>12</v>
      </c>
      <c r="H150" s="18" t="s">
        <v>364</v>
      </c>
      <c r="I150" s="3" t="s">
        <v>354</v>
      </c>
      <c r="J150" s="3" t="s">
        <v>355</v>
      </c>
      <c r="K150" s="3"/>
      <c r="L150" s="3"/>
      <c r="M150" s="3"/>
      <c r="N150" s="3"/>
      <c r="O150" s="3"/>
      <c r="P150" s="3"/>
      <c r="Q150" s="3"/>
    </row>
    <row r="151" ht="15.75" customHeight="1">
      <c r="A151" s="15">
        <v>150.0</v>
      </c>
      <c r="B151" s="19" t="s">
        <v>488</v>
      </c>
      <c r="C151" s="16" t="s">
        <v>489</v>
      </c>
      <c r="D151" s="17" t="s">
        <v>490</v>
      </c>
      <c r="E151" s="16">
        <v>5.70156378076E11</v>
      </c>
      <c r="F151" s="16" t="s">
        <v>491</v>
      </c>
      <c r="G151" s="16" t="s">
        <v>197</v>
      </c>
      <c r="H151" s="18" t="s">
        <v>353</v>
      </c>
      <c r="I151" s="3" t="s">
        <v>354</v>
      </c>
      <c r="J151" s="3" t="s">
        <v>355</v>
      </c>
      <c r="K151" s="3"/>
      <c r="L151" s="3"/>
      <c r="M151" s="3"/>
      <c r="N151" s="3"/>
      <c r="O151" s="3"/>
      <c r="P151" s="3"/>
      <c r="Q151" s="3"/>
    </row>
    <row r="152" ht="15.75" customHeight="1">
      <c r="A152" s="15">
        <v>151.0</v>
      </c>
      <c r="B152" s="16" t="s">
        <v>492</v>
      </c>
      <c r="C152" s="16" t="s">
        <v>493</v>
      </c>
      <c r="D152" s="17" t="s">
        <v>25</v>
      </c>
      <c r="E152" s="16">
        <v>5.70156378077E11</v>
      </c>
      <c r="F152" s="16" t="s">
        <v>494</v>
      </c>
      <c r="G152" s="16" t="s">
        <v>12</v>
      </c>
      <c r="H152" s="18" t="s">
        <v>364</v>
      </c>
      <c r="I152" s="3" t="s">
        <v>354</v>
      </c>
      <c r="J152" s="3" t="s">
        <v>355</v>
      </c>
      <c r="K152" s="3"/>
      <c r="L152" s="3"/>
      <c r="M152" s="3"/>
      <c r="N152" s="3"/>
      <c r="O152" s="3"/>
      <c r="P152" s="3"/>
      <c r="Q152" s="3"/>
    </row>
    <row r="153" ht="15.75" customHeight="1">
      <c r="A153" s="15">
        <v>152.0</v>
      </c>
      <c r="B153" s="16" t="s">
        <v>495</v>
      </c>
      <c r="C153" s="9" t="s">
        <v>496</v>
      </c>
      <c r="D153" s="13" t="s">
        <v>280</v>
      </c>
      <c r="E153" s="9">
        <v>5.70156378078E11</v>
      </c>
      <c r="F153" s="9" t="s">
        <v>497</v>
      </c>
      <c r="G153" s="9" t="s">
        <v>12</v>
      </c>
      <c r="H153" s="9" t="s">
        <v>353</v>
      </c>
      <c r="I153" s="3" t="s">
        <v>354</v>
      </c>
      <c r="J153" s="3" t="s">
        <v>355</v>
      </c>
      <c r="K153" s="3"/>
      <c r="L153" s="3"/>
      <c r="M153" s="3"/>
      <c r="N153" s="3"/>
      <c r="O153" s="3"/>
      <c r="P153" s="3"/>
      <c r="Q153" s="3"/>
    </row>
    <row r="154" ht="15.75" customHeight="1">
      <c r="A154" s="15">
        <v>153.0</v>
      </c>
      <c r="B154" s="16" t="s">
        <v>498</v>
      </c>
      <c r="C154" s="16" t="s">
        <v>499</v>
      </c>
      <c r="D154" s="17" t="s">
        <v>122</v>
      </c>
      <c r="E154" s="16">
        <v>5.70156378079E11</v>
      </c>
      <c r="F154" s="16" t="s">
        <v>500</v>
      </c>
      <c r="G154" s="16" t="s">
        <v>12</v>
      </c>
      <c r="H154" s="18" t="s">
        <v>364</v>
      </c>
      <c r="I154" s="3" t="s">
        <v>354</v>
      </c>
      <c r="J154" s="3" t="s">
        <v>355</v>
      </c>
      <c r="K154" s="3"/>
      <c r="L154" s="3"/>
      <c r="M154" s="3"/>
      <c r="N154" s="3"/>
      <c r="O154" s="3"/>
      <c r="P154" s="3"/>
      <c r="Q154" s="3"/>
    </row>
    <row r="155" ht="15.75" customHeight="1">
      <c r="A155" s="15">
        <v>154.0</v>
      </c>
      <c r="B155" s="16" t="s">
        <v>254</v>
      </c>
      <c r="C155" s="16" t="s">
        <v>501</v>
      </c>
      <c r="D155" s="17" t="s">
        <v>445</v>
      </c>
      <c r="E155" s="16">
        <v>5.70156378084E11</v>
      </c>
      <c r="F155" s="16" t="s">
        <v>502</v>
      </c>
      <c r="G155" s="16" t="s">
        <v>12</v>
      </c>
      <c r="H155" s="18" t="s">
        <v>364</v>
      </c>
      <c r="I155" s="3" t="s">
        <v>354</v>
      </c>
      <c r="J155" s="3" t="s">
        <v>355</v>
      </c>
      <c r="K155" s="3"/>
      <c r="L155" s="3"/>
      <c r="M155" s="3"/>
      <c r="N155" s="3"/>
      <c r="O155" s="3"/>
      <c r="P155" s="3"/>
      <c r="Q155" s="3"/>
    </row>
    <row r="156" ht="15.75" customHeight="1">
      <c r="A156" s="15">
        <v>155.0</v>
      </c>
      <c r="B156" s="16" t="s">
        <v>304</v>
      </c>
      <c r="C156" s="9" t="s">
        <v>503</v>
      </c>
      <c r="D156" s="13" t="s">
        <v>504</v>
      </c>
      <c r="E156" s="9">
        <v>5.70156378085E11</v>
      </c>
      <c r="F156" s="9" t="s">
        <v>505</v>
      </c>
      <c r="G156" s="9" t="s">
        <v>12</v>
      </c>
      <c r="H156" s="9" t="s">
        <v>364</v>
      </c>
      <c r="I156" s="3" t="s">
        <v>354</v>
      </c>
      <c r="J156" s="3" t="s">
        <v>355</v>
      </c>
      <c r="K156" s="3"/>
      <c r="L156" s="3"/>
      <c r="M156" s="3"/>
      <c r="N156" s="3"/>
      <c r="O156" s="3"/>
      <c r="P156" s="3"/>
      <c r="Q156" s="3"/>
    </row>
    <row r="157" ht="15.75" customHeight="1">
      <c r="A157" s="15">
        <v>156.0</v>
      </c>
      <c r="B157" s="16" t="s">
        <v>109</v>
      </c>
      <c r="C157" s="21" t="s">
        <v>506</v>
      </c>
      <c r="D157" s="22" t="s">
        <v>402</v>
      </c>
      <c r="E157" s="21">
        <v>5.70156378086E11</v>
      </c>
      <c r="F157" s="21" t="s">
        <v>507</v>
      </c>
      <c r="G157" s="21" t="s">
        <v>12</v>
      </c>
      <c r="H157" s="23" t="s">
        <v>364</v>
      </c>
      <c r="I157" s="3" t="s">
        <v>354</v>
      </c>
      <c r="J157" s="3" t="s">
        <v>355</v>
      </c>
      <c r="K157" s="3"/>
      <c r="L157" s="3"/>
      <c r="M157" s="3"/>
      <c r="N157" s="3"/>
      <c r="O157" s="3"/>
      <c r="P157" s="3"/>
      <c r="Q157" s="3"/>
    </row>
    <row r="158" ht="15.75" customHeight="1">
      <c r="A158" s="15">
        <v>157.0</v>
      </c>
      <c r="B158" s="16" t="s">
        <v>508</v>
      </c>
      <c r="C158" s="16" t="s">
        <v>509</v>
      </c>
      <c r="D158" s="17" t="s">
        <v>510</v>
      </c>
      <c r="E158" s="16">
        <v>5.70156378095E11</v>
      </c>
      <c r="F158" s="16" t="s">
        <v>511</v>
      </c>
      <c r="G158" s="16" t="s">
        <v>12</v>
      </c>
      <c r="H158" s="18" t="s">
        <v>364</v>
      </c>
      <c r="I158" s="3" t="s">
        <v>354</v>
      </c>
      <c r="J158" s="3" t="s">
        <v>355</v>
      </c>
      <c r="K158" s="3"/>
      <c r="L158" s="3"/>
      <c r="M158" s="3"/>
      <c r="N158" s="3"/>
      <c r="O158" s="3"/>
      <c r="P158" s="3"/>
      <c r="Q158" s="3"/>
    </row>
    <row r="159" ht="15.75" customHeight="1">
      <c r="A159" s="15">
        <v>158.0</v>
      </c>
      <c r="B159" s="16" t="s">
        <v>252</v>
      </c>
      <c r="C159" s="16" t="s">
        <v>8</v>
      </c>
      <c r="D159" s="17" t="s">
        <v>40</v>
      </c>
      <c r="E159" s="16">
        <v>5.70156378098E11</v>
      </c>
      <c r="F159" s="16" t="s">
        <v>512</v>
      </c>
      <c r="G159" s="16" t="s">
        <v>12</v>
      </c>
      <c r="H159" s="18" t="s">
        <v>364</v>
      </c>
      <c r="I159" s="3" t="s">
        <v>354</v>
      </c>
      <c r="J159" s="3" t="s">
        <v>355</v>
      </c>
      <c r="K159" s="3"/>
      <c r="L159" s="3"/>
      <c r="M159" s="3"/>
      <c r="N159" s="3"/>
      <c r="O159" s="3"/>
      <c r="P159" s="3"/>
      <c r="Q159" s="3"/>
    </row>
    <row r="160" ht="15.75" customHeight="1">
      <c r="A160" s="15">
        <v>159.0</v>
      </c>
      <c r="B160" s="16" t="s">
        <v>513</v>
      </c>
      <c r="C160" s="21" t="s">
        <v>514</v>
      </c>
      <c r="D160" s="22" t="s">
        <v>515</v>
      </c>
      <c r="E160" s="21">
        <v>5.70156378099E11</v>
      </c>
      <c r="F160" s="21" t="s">
        <v>516</v>
      </c>
      <c r="G160" s="21" t="s">
        <v>62</v>
      </c>
      <c r="H160" s="23" t="s">
        <v>364</v>
      </c>
      <c r="I160" s="3" t="s">
        <v>354</v>
      </c>
      <c r="J160" s="3" t="s">
        <v>355</v>
      </c>
      <c r="K160" s="3"/>
      <c r="L160" s="3"/>
      <c r="M160" s="3"/>
      <c r="N160" s="3"/>
      <c r="O160" s="3"/>
      <c r="P160" s="3"/>
      <c r="Q160" s="3"/>
    </row>
    <row r="161" ht="15.75" customHeight="1">
      <c r="A161" s="15">
        <v>160.0</v>
      </c>
      <c r="B161" s="16" t="s">
        <v>121</v>
      </c>
      <c r="C161" s="16" t="s">
        <v>517</v>
      </c>
      <c r="D161" s="17" t="s">
        <v>518</v>
      </c>
      <c r="E161" s="16">
        <v>5.70156378103E11</v>
      </c>
      <c r="F161" s="16" t="s">
        <v>519</v>
      </c>
      <c r="G161" s="16" t="s">
        <v>12</v>
      </c>
      <c r="H161" s="18" t="s">
        <v>364</v>
      </c>
      <c r="I161" s="3" t="s">
        <v>354</v>
      </c>
      <c r="J161" s="3" t="s">
        <v>355</v>
      </c>
      <c r="K161" s="3"/>
      <c r="L161" s="3"/>
      <c r="M161" s="3"/>
      <c r="N161" s="3"/>
      <c r="O161" s="3"/>
      <c r="P161" s="3"/>
      <c r="Q161" s="3"/>
    </row>
    <row r="162" ht="15.75" customHeight="1">
      <c r="A162" s="15">
        <v>161.0</v>
      </c>
      <c r="B162" s="16" t="s">
        <v>116</v>
      </c>
      <c r="C162" s="16" t="s">
        <v>517</v>
      </c>
      <c r="D162" s="17" t="s">
        <v>518</v>
      </c>
      <c r="E162" s="16">
        <v>5.70156378104E11</v>
      </c>
      <c r="F162" s="16" t="s">
        <v>520</v>
      </c>
      <c r="G162" s="16" t="s">
        <v>12</v>
      </c>
      <c r="H162" s="18" t="s">
        <v>364</v>
      </c>
      <c r="I162" s="3" t="s">
        <v>354</v>
      </c>
      <c r="J162" s="3" t="s">
        <v>355</v>
      </c>
      <c r="K162" s="3"/>
      <c r="L162" s="3"/>
      <c r="M162" s="3"/>
      <c r="N162" s="3"/>
      <c r="O162" s="3"/>
      <c r="P162" s="3"/>
      <c r="Q162" s="3"/>
    </row>
    <row r="163" ht="15.75" customHeight="1">
      <c r="A163" s="15">
        <v>162.0</v>
      </c>
      <c r="B163" s="16" t="s">
        <v>521</v>
      </c>
      <c r="C163" s="16" t="s">
        <v>522</v>
      </c>
      <c r="D163" s="17" t="s">
        <v>523</v>
      </c>
      <c r="E163" s="16">
        <v>5.70156378105E11</v>
      </c>
      <c r="F163" s="16" t="s">
        <v>524</v>
      </c>
      <c r="G163" s="16" t="s">
        <v>12</v>
      </c>
      <c r="H163" s="18" t="s">
        <v>364</v>
      </c>
      <c r="I163" s="3" t="s">
        <v>354</v>
      </c>
      <c r="J163" s="3" t="s">
        <v>355</v>
      </c>
      <c r="K163" s="3"/>
      <c r="L163" s="3"/>
      <c r="M163" s="3"/>
      <c r="N163" s="3"/>
      <c r="O163" s="3"/>
      <c r="P163" s="3"/>
      <c r="Q163" s="3"/>
    </row>
    <row r="164" ht="15.75" customHeight="1">
      <c r="A164" s="15">
        <v>163.0</v>
      </c>
      <c r="B164" s="16" t="s">
        <v>525</v>
      </c>
      <c r="C164" s="16" t="s">
        <v>526</v>
      </c>
      <c r="D164" s="17" t="s">
        <v>523</v>
      </c>
      <c r="E164" s="16">
        <v>5.70156378107E11</v>
      </c>
      <c r="F164" s="16" t="s">
        <v>527</v>
      </c>
      <c r="G164" s="16" t="s">
        <v>12</v>
      </c>
      <c r="H164" s="18" t="s">
        <v>364</v>
      </c>
      <c r="I164" s="3" t="s">
        <v>354</v>
      </c>
      <c r="J164" s="3" t="s">
        <v>355</v>
      </c>
      <c r="K164" s="3"/>
      <c r="L164" s="3"/>
      <c r="M164" s="3"/>
      <c r="N164" s="3"/>
      <c r="O164" s="3"/>
      <c r="P164" s="3"/>
      <c r="Q164" s="3"/>
    </row>
    <row r="165" ht="15.75" customHeight="1">
      <c r="A165" s="15">
        <v>164.0</v>
      </c>
      <c r="B165" s="16" t="s">
        <v>528</v>
      </c>
      <c r="C165" s="16" t="s">
        <v>529</v>
      </c>
      <c r="D165" s="17" t="s">
        <v>518</v>
      </c>
      <c r="E165" s="16">
        <v>5.7015637811E11</v>
      </c>
      <c r="F165" s="16" t="s">
        <v>530</v>
      </c>
      <c r="G165" s="16" t="s">
        <v>12</v>
      </c>
      <c r="H165" s="18" t="s">
        <v>364</v>
      </c>
      <c r="I165" s="3" t="s">
        <v>354</v>
      </c>
      <c r="J165" s="3" t="s">
        <v>355</v>
      </c>
      <c r="K165" s="3"/>
      <c r="L165" s="3"/>
      <c r="M165" s="3"/>
      <c r="N165" s="3"/>
      <c r="O165" s="3"/>
      <c r="P165" s="3"/>
      <c r="Q165" s="3"/>
    </row>
    <row r="166" ht="15.75" customHeight="1">
      <c r="A166" s="15">
        <v>165.0</v>
      </c>
      <c r="B166" s="16" t="s">
        <v>531</v>
      </c>
      <c r="C166" s="16" t="s">
        <v>517</v>
      </c>
      <c r="D166" s="17" t="s">
        <v>518</v>
      </c>
      <c r="E166" s="16">
        <v>5.70156378112E11</v>
      </c>
      <c r="F166" s="16" t="s">
        <v>532</v>
      </c>
      <c r="G166" s="16" t="s">
        <v>12</v>
      </c>
      <c r="H166" s="18" t="s">
        <v>364</v>
      </c>
      <c r="I166" s="3" t="s">
        <v>354</v>
      </c>
      <c r="J166" s="3" t="s">
        <v>355</v>
      </c>
      <c r="K166" s="3"/>
      <c r="L166" s="3"/>
      <c r="M166" s="3"/>
      <c r="N166" s="3"/>
      <c r="O166" s="3"/>
      <c r="P166" s="3"/>
      <c r="Q166" s="3"/>
    </row>
    <row r="167" ht="15.75" customHeight="1">
      <c r="A167" s="15">
        <v>166.0</v>
      </c>
      <c r="B167" s="16" t="s">
        <v>533</v>
      </c>
      <c r="C167" s="16" t="s">
        <v>116</v>
      </c>
      <c r="D167" s="17" t="s">
        <v>226</v>
      </c>
      <c r="E167" s="16">
        <v>5.70156378114E11</v>
      </c>
      <c r="F167" s="16" t="s">
        <v>78</v>
      </c>
      <c r="G167" s="16" t="s">
        <v>50</v>
      </c>
      <c r="H167" s="18" t="s">
        <v>364</v>
      </c>
      <c r="I167" s="3" t="s">
        <v>354</v>
      </c>
      <c r="J167" s="3" t="s">
        <v>355</v>
      </c>
      <c r="K167" s="3"/>
      <c r="L167" s="3"/>
      <c r="M167" s="3"/>
      <c r="N167" s="3"/>
      <c r="O167" s="3"/>
      <c r="P167" s="3"/>
      <c r="Q167" s="3"/>
    </row>
    <row r="168" ht="15.75" customHeight="1">
      <c r="A168" s="15">
        <v>167.0</v>
      </c>
      <c r="B168" s="16" t="s">
        <v>534</v>
      </c>
      <c r="C168" s="16" t="s">
        <v>116</v>
      </c>
      <c r="D168" s="17" t="s">
        <v>226</v>
      </c>
      <c r="E168" s="16">
        <v>5.70156378115E11</v>
      </c>
      <c r="F168" s="16" t="s">
        <v>535</v>
      </c>
      <c r="G168" s="16" t="s">
        <v>12</v>
      </c>
      <c r="H168" s="18" t="s">
        <v>364</v>
      </c>
      <c r="I168" s="3" t="s">
        <v>354</v>
      </c>
      <c r="J168" s="3" t="s">
        <v>355</v>
      </c>
      <c r="K168" s="3"/>
      <c r="L168" s="3"/>
      <c r="M168" s="3"/>
      <c r="N168" s="3"/>
      <c r="O168" s="3"/>
      <c r="P168" s="3"/>
      <c r="Q168" s="3"/>
    </row>
    <row r="169" ht="15.75" customHeight="1">
      <c r="A169" s="15">
        <v>168.0</v>
      </c>
      <c r="B169" s="16" t="s">
        <v>66</v>
      </c>
      <c r="C169" s="16" t="s">
        <v>517</v>
      </c>
      <c r="D169" s="17" t="s">
        <v>518</v>
      </c>
      <c r="E169" s="16">
        <v>5.70156378117E11</v>
      </c>
      <c r="F169" s="16" t="s">
        <v>536</v>
      </c>
      <c r="G169" s="16" t="s">
        <v>12</v>
      </c>
      <c r="H169" s="18" t="s">
        <v>364</v>
      </c>
      <c r="I169" s="3" t="s">
        <v>354</v>
      </c>
      <c r="J169" s="3" t="s">
        <v>355</v>
      </c>
      <c r="K169" s="3"/>
      <c r="L169" s="3"/>
      <c r="M169" s="3"/>
      <c r="N169" s="3"/>
      <c r="O169" s="3"/>
      <c r="P169" s="3"/>
      <c r="Q169" s="3"/>
    </row>
    <row r="170" ht="15.75" customHeight="1">
      <c r="A170" s="15">
        <v>169.0</v>
      </c>
      <c r="B170" s="16" t="s">
        <v>537</v>
      </c>
      <c r="C170" s="19" t="s">
        <v>538</v>
      </c>
      <c r="D170" s="17" t="s">
        <v>539</v>
      </c>
      <c r="E170" s="16">
        <v>5.70156378119E11</v>
      </c>
      <c r="F170" s="16" t="s">
        <v>540</v>
      </c>
      <c r="G170" s="16" t="s">
        <v>37</v>
      </c>
      <c r="H170" s="18" t="s">
        <v>364</v>
      </c>
      <c r="I170" s="3" t="s">
        <v>354</v>
      </c>
      <c r="J170" s="3" t="s">
        <v>355</v>
      </c>
      <c r="K170" s="3"/>
      <c r="L170" s="3"/>
      <c r="M170" s="3"/>
      <c r="N170" s="3"/>
      <c r="O170" s="3"/>
      <c r="P170" s="3"/>
      <c r="Q170" s="3"/>
    </row>
    <row r="171" ht="15.75" customHeight="1">
      <c r="A171" s="15">
        <v>170.0</v>
      </c>
      <c r="B171" s="16" t="s">
        <v>541</v>
      </c>
      <c r="C171" s="16" t="s">
        <v>537</v>
      </c>
      <c r="D171" s="17" t="s">
        <v>542</v>
      </c>
      <c r="E171" s="16">
        <v>5.7015637812E11</v>
      </c>
      <c r="F171" s="16" t="s">
        <v>423</v>
      </c>
      <c r="G171" s="16" t="s">
        <v>12</v>
      </c>
      <c r="H171" s="18" t="s">
        <v>364</v>
      </c>
      <c r="I171" s="3" t="s">
        <v>354</v>
      </c>
      <c r="J171" s="3" t="s">
        <v>355</v>
      </c>
      <c r="K171" s="3"/>
      <c r="L171" s="3"/>
      <c r="M171" s="3"/>
      <c r="N171" s="3"/>
      <c r="O171" s="3"/>
      <c r="P171" s="3"/>
      <c r="Q171" s="3"/>
    </row>
    <row r="172" ht="15.75" customHeight="1">
      <c r="A172" s="15">
        <v>171.0</v>
      </c>
      <c r="B172" s="16" t="s">
        <v>543</v>
      </c>
      <c r="C172" s="16" t="s">
        <v>544</v>
      </c>
      <c r="D172" s="17" t="s">
        <v>545</v>
      </c>
      <c r="E172" s="16">
        <v>5.70156378128E11</v>
      </c>
      <c r="F172" s="16" t="s">
        <v>546</v>
      </c>
      <c r="G172" s="16" t="s">
        <v>12</v>
      </c>
      <c r="H172" s="18" t="s">
        <v>364</v>
      </c>
      <c r="I172" s="3" t="s">
        <v>354</v>
      </c>
      <c r="J172" s="3" t="s">
        <v>355</v>
      </c>
      <c r="K172" s="3"/>
      <c r="L172" s="3"/>
      <c r="M172" s="3"/>
      <c r="N172" s="3"/>
      <c r="O172" s="3"/>
      <c r="P172" s="3"/>
      <c r="Q172" s="3"/>
    </row>
    <row r="173" ht="15.75" customHeight="1">
      <c r="A173" s="15">
        <v>172.0</v>
      </c>
      <c r="B173" s="16" t="s">
        <v>547</v>
      </c>
      <c r="C173" s="16" t="s">
        <v>548</v>
      </c>
      <c r="D173" s="17" t="s">
        <v>366</v>
      </c>
      <c r="E173" s="16">
        <v>5.70156378131E11</v>
      </c>
      <c r="F173" s="16" t="s">
        <v>95</v>
      </c>
      <c r="G173" s="16" t="s">
        <v>12</v>
      </c>
      <c r="H173" s="18" t="s">
        <v>364</v>
      </c>
      <c r="I173" s="3" t="s">
        <v>354</v>
      </c>
      <c r="J173" s="3" t="s">
        <v>355</v>
      </c>
      <c r="K173" s="3"/>
      <c r="L173" s="3"/>
      <c r="M173" s="3"/>
      <c r="N173" s="3"/>
      <c r="O173" s="3"/>
      <c r="P173" s="3"/>
      <c r="Q173" s="3"/>
    </row>
    <row r="174" ht="15.75" customHeight="1">
      <c r="A174" s="15">
        <v>173.0</v>
      </c>
      <c r="B174" s="16" t="s">
        <v>549</v>
      </c>
      <c r="C174" s="19" t="s">
        <v>550</v>
      </c>
      <c r="D174" s="17" t="s">
        <v>551</v>
      </c>
      <c r="E174" s="16">
        <v>5.70156378133E11</v>
      </c>
      <c r="F174" s="16" t="s">
        <v>552</v>
      </c>
      <c r="G174" s="16" t="s">
        <v>12</v>
      </c>
      <c r="H174" s="18" t="s">
        <v>364</v>
      </c>
      <c r="I174" s="3" t="s">
        <v>354</v>
      </c>
      <c r="J174" s="3" t="s">
        <v>355</v>
      </c>
      <c r="K174" s="3"/>
      <c r="L174" s="3"/>
      <c r="M174" s="3"/>
      <c r="N174" s="3"/>
      <c r="O174" s="3"/>
      <c r="P174" s="3"/>
      <c r="Q174" s="3"/>
    </row>
    <row r="175" ht="15.75" customHeight="1">
      <c r="A175" s="15">
        <v>174.0</v>
      </c>
      <c r="B175" s="16" t="s">
        <v>80</v>
      </c>
      <c r="C175" s="16" t="s">
        <v>553</v>
      </c>
      <c r="D175" s="17" t="s">
        <v>551</v>
      </c>
      <c r="E175" s="16">
        <v>5.70156378136E11</v>
      </c>
      <c r="F175" s="16" t="s">
        <v>554</v>
      </c>
      <c r="G175" s="16" t="s">
        <v>12</v>
      </c>
      <c r="H175" s="18" t="s">
        <v>364</v>
      </c>
      <c r="I175" s="3" t="s">
        <v>354</v>
      </c>
      <c r="J175" s="3" t="s">
        <v>355</v>
      </c>
      <c r="K175" s="3"/>
      <c r="L175" s="3"/>
      <c r="M175" s="3"/>
      <c r="N175" s="3"/>
      <c r="O175" s="3"/>
      <c r="P175" s="3"/>
      <c r="Q175" s="3"/>
    </row>
    <row r="176" ht="15.75" customHeight="1">
      <c r="A176" s="15">
        <v>175.0</v>
      </c>
      <c r="B176" s="16" t="s">
        <v>285</v>
      </c>
      <c r="C176" s="16" t="s">
        <v>555</v>
      </c>
      <c r="D176" s="17" t="s">
        <v>556</v>
      </c>
      <c r="E176" s="16">
        <v>5.7015637814E11</v>
      </c>
      <c r="F176" s="16" t="s">
        <v>108</v>
      </c>
      <c r="G176" s="16" t="s">
        <v>12</v>
      </c>
      <c r="H176" s="18" t="s">
        <v>364</v>
      </c>
      <c r="I176" s="3" t="s">
        <v>354</v>
      </c>
      <c r="J176" s="3" t="s">
        <v>355</v>
      </c>
      <c r="K176" s="3"/>
      <c r="L176" s="3"/>
      <c r="M176" s="3"/>
      <c r="N176" s="3"/>
      <c r="O176" s="3"/>
      <c r="P176" s="3"/>
      <c r="Q176" s="3"/>
    </row>
    <row r="177" ht="15.75" customHeight="1">
      <c r="A177" s="15">
        <v>176.0</v>
      </c>
      <c r="B177" s="16" t="s">
        <v>254</v>
      </c>
      <c r="C177" s="16" t="s">
        <v>465</v>
      </c>
      <c r="D177" s="17" t="s">
        <v>557</v>
      </c>
      <c r="E177" s="16">
        <v>5.70156378143E11</v>
      </c>
      <c r="F177" s="16" t="s">
        <v>558</v>
      </c>
      <c r="G177" s="16" t="s">
        <v>12</v>
      </c>
      <c r="H177" s="18" t="s">
        <v>364</v>
      </c>
      <c r="I177" s="3" t="s">
        <v>354</v>
      </c>
      <c r="J177" s="3" t="s">
        <v>355</v>
      </c>
      <c r="K177" s="3"/>
      <c r="L177" s="3"/>
      <c r="M177" s="3"/>
      <c r="N177" s="3"/>
      <c r="O177" s="3"/>
      <c r="P177" s="3"/>
      <c r="Q177" s="3"/>
    </row>
    <row r="178" ht="15.75" customHeight="1">
      <c r="A178" s="15">
        <v>177.0</v>
      </c>
      <c r="B178" s="16" t="s">
        <v>33</v>
      </c>
      <c r="C178" s="16" t="s">
        <v>150</v>
      </c>
      <c r="D178" s="17" t="s">
        <v>515</v>
      </c>
      <c r="E178" s="16">
        <v>5.70156378146E11</v>
      </c>
      <c r="F178" s="16" t="s">
        <v>559</v>
      </c>
      <c r="G178" s="16" t="s">
        <v>12</v>
      </c>
      <c r="H178" s="18" t="s">
        <v>364</v>
      </c>
      <c r="I178" s="3" t="s">
        <v>354</v>
      </c>
      <c r="J178" s="3" t="s">
        <v>355</v>
      </c>
      <c r="K178" s="3"/>
      <c r="L178" s="3"/>
      <c r="M178" s="3"/>
      <c r="N178" s="3"/>
      <c r="O178" s="3"/>
      <c r="P178" s="3"/>
      <c r="Q178" s="3"/>
    </row>
    <row r="179" ht="15.75" customHeight="1">
      <c r="A179" s="15">
        <v>178.0</v>
      </c>
      <c r="B179" s="16" t="s">
        <v>465</v>
      </c>
      <c r="C179" s="16" t="s">
        <v>560</v>
      </c>
      <c r="D179" s="17" t="s">
        <v>561</v>
      </c>
      <c r="E179" s="16">
        <v>5.70156378147E11</v>
      </c>
      <c r="F179" s="16" t="s">
        <v>562</v>
      </c>
      <c r="G179" s="16" t="s">
        <v>12</v>
      </c>
      <c r="H179" s="18" t="s">
        <v>364</v>
      </c>
      <c r="I179" s="3" t="s">
        <v>354</v>
      </c>
      <c r="J179" s="3" t="s">
        <v>355</v>
      </c>
      <c r="K179" s="3"/>
      <c r="L179" s="3"/>
      <c r="M179" s="3"/>
      <c r="N179" s="3"/>
      <c r="O179" s="3"/>
      <c r="P179" s="3"/>
      <c r="Q179" s="3"/>
    </row>
    <row r="180" ht="15.75" customHeight="1">
      <c r="A180" s="15">
        <v>179.0</v>
      </c>
      <c r="B180" s="16" t="s">
        <v>509</v>
      </c>
      <c r="C180" s="16" t="s">
        <v>563</v>
      </c>
      <c r="D180" s="17" t="s">
        <v>564</v>
      </c>
      <c r="E180" s="16">
        <v>5.7015637815E11</v>
      </c>
      <c r="F180" s="16" t="s">
        <v>455</v>
      </c>
      <c r="G180" s="16" t="s">
        <v>12</v>
      </c>
      <c r="H180" s="18" t="s">
        <v>364</v>
      </c>
      <c r="I180" s="3" t="s">
        <v>354</v>
      </c>
      <c r="J180" s="3" t="s">
        <v>355</v>
      </c>
      <c r="K180" s="3"/>
      <c r="L180" s="3"/>
      <c r="M180" s="3"/>
      <c r="N180" s="3"/>
      <c r="O180" s="3"/>
      <c r="P180" s="3"/>
      <c r="Q180" s="3"/>
    </row>
    <row r="181" ht="15.75" customHeight="1">
      <c r="A181" s="15">
        <v>180.0</v>
      </c>
      <c r="B181" s="16" t="s">
        <v>565</v>
      </c>
      <c r="C181" s="16" t="s">
        <v>566</v>
      </c>
      <c r="D181" s="17" t="s">
        <v>567</v>
      </c>
      <c r="E181" s="16">
        <v>5.70156378152E11</v>
      </c>
      <c r="F181" s="16" t="s">
        <v>568</v>
      </c>
      <c r="G181" s="16" t="s">
        <v>12</v>
      </c>
      <c r="H181" s="18" t="s">
        <v>364</v>
      </c>
      <c r="I181" s="3" t="s">
        <v>354</v>
      </c>
      <c r="J181" s="3" t="s">
        <v>355</v>
      </c>
      <c r="K181" s="3"/>
      <c r="L181" s="3"/>
      <c r="M181" s="3"/>
      <c r="N181" s="3"/>
      <c r="O181" s="3"/>
      <c r="P181" s="3"/>
      <c r="Q181" s="3"/>
    </row>
    <row r="182" ht="15.75" customHeight="1">
      <c r="A182" s="15">
        <v>181.0</v>
      </c>
      <c r="B182" s="16" t="s">
        <v>51</v>
      </c>
      <c r="C182" s="16" t="s">
        <v>569</v>
      </c>
      <c r="D182" s="17" t="s">
        <v>570</v>
      </c>
      <c r="E182" s="16">
        <v>5.70156378153E11</v>
      </c>
      <c r="F182" s="16" t="s">
        <v>568</v>
      </c>
      <c r="G182" s="16" t="s">
        <v>37</v>
      </c>
      <c r="H182" s="18" t="s">
        <v>364</v>
      </c>
      <c r="I182" s="3" t="s">
        <v>354</v>
      </c>
      <c r="J182" s="3" t="s">
        <v>355</v>
      </c>
      <c r="K182" s="3"/>
      <c r="L182" s="3"/>
      <c r="M182" s="3"/>
      <c r="N182" s="3"/>
      <c r="O182" s="3"/>
      <c r="P182" s="3"/>
      <c r="Q182" s="3"/>
    </row>
    <row r="183" ht="15.75" customHeight="1">
      <c r="A183" s="15">
        <v>182.0</v>
      </c>
      <c r="B183" s="16" t="s">
        <v>571</v>
      </c>
      <c r="C183" s="16" t="s">
        <v>572</v>
      </c>
      <c r="D183" s="17" t="s">
        <v>573</v>
      </c>
      <c r="E183" s="16">
        <v>5.70156378157E11</v>
      </c>
      <c r="F183" s="16" t="s">
        <v>574</v>
      </c>
      <c r="G183" s="16" t="s">
        <v>12</v>
      </c>
      <c r="H183" s="18" t="s">
        <v>364</v>
      </c>
      <c r="I183" s="3" t="s">
        <v>354</v>
      </c>
      <c r="J183" s="3" t="s">
        <v>355</v>
      </c>
      <c r="K183" s="3"/>
      <c r="L183" s="3"/>
      <c r="M183" s="3"/>
      <c r="N183" s="3"/>
      <c r="O183" s="3"/>
      <c r="P183" s="3"/>
      <c r="Q183" s="3"/>
    </row>
    <row r="184" ht="15.75" customHeight="1">
      <c r="A184" s="15">
        <v>183.0</v>
      </c>
      <c r="B184" s="16" t="s">
        <v>575</v>
      </c>
      <c r="C184" s="16" t="s">
        <v>576</v>
      </c>
      <c r="D184" s="17" t="s">
        <v>577</v>
      </c>
      <c r="E184" s="16">
        <v>5.70156378159E11</v>
      </c>
      <c r="F184" s="16" t="s">
        <v>426</v>
      </c>
      <c r="G184" s="16" t="s">
        <v>12</v>
      </c>
      <c r="H184" s="18" t="s">
        <v>364</v>
      </c>
      <c r="I184" s="3" t="s">
        <v>354</v>
      </c>
      <c r="J184" s="3" t="s">
        <v>355</v>
      </c>
      <c r="K184" s="3"/>
      <c r="L184" s="3"/>
      <c r="M184" s="3"/>
      <c r="N184" s="3"/>
      <c r="O184" s="3"/>
      <c r="P184" s="3"/>
      <c r="Q184" s="3"/>
    </row>
    <row r="185" ht="15.75" customHeight="1">
      <c r="A185" s="8">
        <v>184.0</v>
      </c>
      <c r="B185" s="9" t="s">
        <v>24</v>
      </c>
      <c r="C185" s="9" t="s">
        <v>578</v>
      </c>
      <c r="D185" s="13" t="s">
        <v>579</v>
      </c>
      <c r="E185" s="9">
        <v>5.7015637816E11</v>
      </c>
      <c r="F185" s="9" t="s">
        <v>580</v>
      </c>
      <c r="G185" s="9" t="s">
        <v>12</v>
      </c>
      <c r="H185" s="14" t="s">
        <v>364</v>
      </c>
      <c r="I185" s="3" t="s">
        <v>354</v>
      </c>
      <c r="J185" s="3" t="s">
        <v>355</v>
      </c>
      <c r="K185" s="3"/>
      <c r="L185" s="3"/>
      <c r="M185" s="3"/>
      <c r="N185" s="3"/>
      <c r="O185" s="3"/>
      <c r="P185" s="3"/>
      <c r="Q185" s="3"/>
    </row>
    <row r="186" ht="15.75" customHeight="1">
      <c r="A186" s="8">
        <v>185.0</v>
      </c>
      <c r="B186" s="9" t="s">
        <v>581</v>
      </c>
      <c r="C186" s="9" t="s">
        <v>460</v>
      </c>
      <c r="D186" s="13" t="s">
        <v>582</v>
      </c>
      <c r="E186" s="9">
        <v>5.70156378161E11</v>
      </c>
      <c r="F186" s="9" t="s">
        <v>583</v>
      </c>
      <c r="G186" s="9" t="s">
        <v>12</v>
      </c>
      <c r="H186" s="14" t="s">
        <v>364</v>
      </c>
      <c r="I186" s="3" t="s">
        <v>354</v>
      </c>
      <c r="J186" s="3" t="s">
        <v>355</v>
      </c>
      <c r="K186" s="3"/>
      <c r="L186" s="3"/>
      <c r="M186" s="3"/>
      <c r="N186" s="3"/>
      <c r="O186" s="3"/>
      <c r="P186" s="3"/>
      <c r="Q186" s="3"/>
    </row>
    <row r="187" ht="15.75" customHeight="1">
      <c r="A187" s="8">
        <v>186.0</v>
      </c>
      <c r="B187" s="9" t="s">
        <v>465</v>
      </c>
      <c r="C187" s="9" t="s">
        <v>584</v>
      </c>
      <c r="D187" s="13" t="s">
        <v>585</v>
      </c>
      <c r="E187" s="9">
        <v>5.70156378163E11</v>
      </c>
      <c r="F187" s="9" t="s">
        <v>586</v>
      </c>
      <c r="G187" s="9" t="s">
        <v>12</v>
      </c>
      <c r="H187" s="14" t="s">
        <v>364</v>
      </c>
      <c r="I187" s="3" t="s">
        <v>354</v>
      </c>
      <c r="J187" s="3" t="s">
        <v>355</v>
      </c>
      <c r="K187" s="3"/>
      <c r="L187" s="3"/>
      <c r="M187" s="3"/>
      <c r="N187" s="3"/>
      <c r="O187" s="3"/>
      <c r="P187" s="3"/>
      <c r="Q187" s="3"/>
    </row>
    <row r="188" ht="15.75" customHeight="1">
      <c r="A188" s="8">
        <v>187.0</v>
      </c>
      <c r="B188" s="9" t="s">
        <v>587</v>
      </c>
      <c r="C188" s="9" t="s">
        <v>588</v>
      </c>
      <c r="D188" s="13" t="s">
        <v>466</v>
      </c>
      <c r="E188" s="9">
        <v>5.70156378164E11</v>
      </c>
      <c r="F188" s="9" t="s">
        <v>326</v>
      </c>
      <c r="G188" s="9" t="s">
        <v>197</v>
      </c>
      <c r="H188" s="14" t="s">
        <v>364</v>
      </c>
      <c r="I188" s="3" t="s">
        <v>354</v>
      </c>
      <c r="J188" s="3" t="s">
        <v>355</v>
      </c>
      <c r="K188" s="3"/>
      <c r="L188" s="3"/>
      <c r="M188" s="3"/>
      <c r="N188" s="3"/>
      <c r="O188" s="3"/>
      <c r="P188" s="3"/>
      <c r="Q188" s="3"/>
    </row>
    <row r="189" ht="15.75" customHeight="1">
      <c r="A189" s="10">
        <v>188.0</v>
      </c>
      <c r="B189" s="3" t="s">
        <v>589</v>
      </c>
      <c r="C189" s="3" t="s">
        <v>460</v>
      </c>
      <c r="D189" s="11" t="s">
        <v>582</v>
      </c>
      <c r="E189" s="3">
        <v>5.70156378172E11</v>
      </c>
      <c r="F189" s="3" t="s">
        <v>95</v>
      </c>
      <c r="G189" s="3" t="s">
        <v>12</v>
      </c>
      <c r="H189" s="12" t="s">
        <v>364</v>
      </c>
      <c r="I189" s="3" t="s">
        <v>354</v>
      </c>
      <c r="J189" s="3" t="s">
        <v>355</v>
      </c>
      <c r="K189" s="3"/>
      <c r="L189" s="3"/>
      <c r="M189" s="3"/>
      <c r="N189" s="3"/>
      <c r="O189" s="3"/>
      <c r="P189" s="3"/>
      <c r="Q189" s="3"/>
    </row>
    <row r="190" ht="15.75" customHeight="1">
      <c r="A190" s="10">
        <v>189.0</v>
      </c>
      <c r="B190" s="3" t="s">
        <v>590</v>
      </c>
      <c r="C190" s="3" t="s">
        <v>591</v>
      </c>
      <c r="D190" s="11" t="s">
        <v>592</v>
      </c>
      <c r="E190" s="3">
        <v>5.70156378173E11</v>
      </c>
      <c r="F190" s="3" t="s">
        <v>455</v>
      </c>
      <c r="G190" s="3" t="s">
        <v>37</v>
      </c>
      <c r="H190" s="12" t="s">
        <v>364</v>
      </c>
      <c r="I190" s="3" t="s">
        <v>354</v>
      </c>
      <c r="J190" s="3" t="s">
        <v>355</v>
      </c>
      <c r="K190" s="3"/>
      <c r="L190" s="3"/>
      <c r="M190" s="3"/>
      <c r="N190" s="3"/>
      <c r="O190" s="3"/>
      <c r="P190" s="3"/>
      <c r="Q190" s="3"/>
    </row>
    <row r="191" ht="15.75" customHeight="1">
      <c r="A191" s="10">
        <v>190.0</v>
      </c>
      <c r="B191" s="3" t="s">
        <v>214</v>
      </c>
      <c r="C191" s="3" t="s">
        <v>397</v>
      </c>
      <c r="D191" s="11" t="s">
        <v>398</v>
      </c>
      <c r="E191" s="3">
        <v>5.70156378179E11</v>
      </c>
      <c r="F191" s="3" t="s">
        <v>593</v>
      </c>
      <c r="G191" s="3" t="s">
        <v>12</v>
      </c>
      <c r="H191" s="12" t="s">
        <v>364</v>
      </c>
      <c r="I191" s="3" t="s">
        <v>414</v>
      </c>
      <c r="J191" s="3" t="s">
        <v>354</v>
      </c>
      <c r="K191" s="3" t="s">
        <v>355</v>
      </c>
      <c r="L191" s="3"/>
      <c r="M191" s="3"/>
      <c r="N191" s="3"/>
      <c r="O191" s="3"/>
      <c r="P191" s="3"/>
      <c r="Q191" s="3"/>
    </row>
    <row r="192" ht="15.75" customHeight="1">
      <c r="A192" s="10">
        <v>191.0</v>
      </c>
      <c r="B192" s="3" t="s">
        <v>594</v>
      </c>
      <c r="C192" s="3" t="s">
        <v>595</v>
      </c>
      <c r="D192" s="11" t="s">
        <v>596</v>
      </c>
      <c r="E192" s="3">
        <v>5.7015637818E11</v>
      </c>
      <c r="F192" s="3" t="s">
        <v>405</v>
      </c>
      <c r="G192" s="3" t="s">
        <v>12</v>
      </c>
      <c r="H192" s="12" t="s">
        <v>364</v>
      </c>
      <c r="I192" s="3" t="s">
        <v>354</v>
      </c>
      <c r="J192" s="3" t="s">
        <v>355</v>
      </c>
      <c r="K192" s="3"/>
      <c r="L192" s="3"/>
      <c r="M192" s="3"/>
      <c r="N192" s="3"/>
      <c r="O192" s="3"/>
      <c r="P192" s="3"/>
      <c r="Q192" s="3"/>
    </row>
    <row r="193" ht="15.75" customHeight="1">
      <c r="A193" s="10">
        <v>192.0</v>
      </c>
      <c r="B193" s="3" t="s">
        <v>38</v>
      </c>
      <c r="C193" s="3" t="s">
        <v>597</v>
      </c>
      <c r="D193" s="11" t="s">
        <v>126</v>
      </c>
      <c r="E193" s="3">
        <v>5.70156378185E11</v>
      </c>
      <c r="F193" s="3" t="s">
        <v>598</v>
      </c>
      <c r="G193" s="3" t="s">
        <v>12</v>
      </c>
      <c r="H193" s="12" t="s">
        <v>364</v>
      </c>
      <c r="I193" s="3" t="s">
        <v>354</v>
      </c>
      <c r="J193" s="3" t="s">
        <v>355</v>
      </c>
      <c r="K193" s="3"/>
      <c r="L193" s="3"/>
      <c r="M193" s="3"/>
      <c r="N193" s="3"/>
      <c r="O193" s="3"/>
      <c r="P193" s="3"/>
      <c r="Q193" s="3"/>
    </row>
    <row r="194" ht="15.75" customHeight="1">
      <c r="A194" s="10">
        <v>193.0</v>
      </c>
      <c r="B194" s="3" t="s">
        <v>599</v>
      </c>
      <c r="C194" s="3" t="s">
        <v>24</v>
      </c>
      <c r="D194" s="11" t="s">
        <v>442</v>
      </c>
      <c r="E194" s="3">
        <v>5.70156378187E11</v>
      </c>
      <c r="F194" s="3" t="s">
        <v>600</v>
      </c>
      <c r="G194" s="3" t="s">
        <v>12</v>
      </c>
      <c r="H194" s="12" t="s">
        <v>364</v>
      </c>
      <c r="I194" s="3" t="s">
        <v>414</v>
      </c>
      <c r="J194" s="3" t="s">
        <v>354</v>
      </c>
      <c r="K194" s="3" t="s">
        <v>355</v>
      </c>
      <c r="L194" s="3"/>
      <c r="M194" s="3"/>
      <c r="N194" s="3"/>
      <c r="O194" s="3"/>
      <c r="P194" s="3"/>
      <c r="Q194" s="3"/>
    </row>
    <row r="195" ht="15.75" customHeight="1">
      <c r="A195" s="10">
        <v>194.0</v>
      </c>
      <c r="B195" s="3" t="s">
        <v>601</v>
      </c>
      <c r="C195" s="3" t="s">
        <v>591</v>
      </c>
      <c r="D195" s="11" t="s">
        <v>602</v>
      </c>
      <c r="E195" s="3">
        <v>5.7015637819E11</v>
      </c>
      <c r="F195" s="3" t="s">
        <v>603</v>
      </c>
      <c r="G195" s="3" t="s">
        <v>12</v>
      </c>
      <c r="H195" s="12" t="s">
        <v>364</v>
      </c>
      <c r="I195" s="3" t="s">
        <v>354</v>
      </c>
      <c r="J195" s="3" t="s">
        <v>355</v>
      </c>
      <c r="K195" s="3"/>
      <c r="L195" s="3"/>
      <c r="M195" s="3"/>
      <c r="N195" s="3"/>
      <c r="O195" s="3"/>
      <c r="P195" s="3"/>
      <c r="Q195" s="3"/>
    </row>
    <row r="196" ht="15.75" customHeight="1">
      <c r="A196" s="10">
        <v>195.0</v>
      </c>
      <c r="B196" s="3" t="s">
        <v>604</v>
      </c>
      <c r="C196" s="3" t="s">
        <v>457</v>
      </c>
      <c r="D196" s="11" t="s">
        <v>605</v>
      </c>
      <c r="E196" s="3">
        <v>5.70156378193E11</v>
      </c>
      <c r="F196" s="3" t="s">
        <v>606</v>
      </c>
      <c r="G196" s="3" t="s">
        <v>12</v>
      </c>
      <c r="H196" s="12" t="s">
        <v>364</v>
      </c>
      <c r="I196" s="3" t="s">
        <v>354</v>
      </c>
      <c r="J196" s="3" t="s">
        <v>355</v>
      </c>
      <c r="K196" s="3"/>
      <c r="L196" s="3"/>
      <c r="M196" s="3"/>
      <c r="N196" s="3"/>
      <c r="O196" s="3"/>
      <c r="P196" s="3"/>
      <c r="Q196" s="3"/>
    </row>
    <row r="197" ht="15.75" customHeight="1">
      <c r="A197" s="10">
        <v>196.0</v>
      </c>
      <c r="B197" s="3" t="s">
        <v>47</v>
      </c>
      <c r="C197" s="3" t="s">
        <v>607</v>
      </c>
      <c r="D197" s="11" t="s">
        <v>608</v>
      </c>
      <c r="E197" s="3">
        <v>5.70156378195E11</v>
      </c>
      <c r="F197" s="3" t="s">
        <v>558</v>
      </c>
      <c r="G197" s="3" t="s">
        <v>12</v>
      </c>
      <c r="H197" s="12" t="s">
        <v>364</v>
      </c>
      <c r="I197" s="3" t="s">
        <v>354</v>
      </c>
      <c r="J197" s="3" t="s">
        <v>355</v>
      </c>
      <c r="K197" s="3"/>
      <c r="L197" s="3"/>
      <c r="M197" s="3"/>
      <c r="N197" s="3"/>
      <c r="O197" s="3"/>
      <c r="P197" s="3"/>
      <c r="Q197" s="3"/>
    </row>
    <row r="198" ht="15.75" customHeight="1">
      <c r="A198" s="10">
        <v>197.0</v>
      </c>
      <c r="B198" s="3" t="s">
        <v>205</v>
      </c>
      <c r="C198" s="3" t="s">
        <v>609</v>
      </c>
      <c r="D198" s="11" t="s">
        <v>610</v>
      </c>
      <c r="E198" s="3">
        <v>5.70156378197E11</v>
      </c>
      <c r="F198" s="3" t="s">
        <v>611</v>
      </c>
      <c r="G198" s="3" t="s">
        <v>12</v>
      </c>
      <c r="H198" s="12" t="s">
        <v>364</v>
      </c>
      <c r="I198" s="3" t="s">
        <v>354</v>
      </c>
      <c r="J198" s="3" t="s">
        <v>355</v>
      </c>
      <c r="K198" s="3"/>
      <c r="L198" s="3"/>
      <c r="M198" s="3"/>
      <c r="N198" s="3"/>
      <c r="O198" s="3"/>
      <c r="P198" s="3"/>
      <c r="Q198" s="3"/>
    </row>
    <row r="199" ht="15.75" customHeight="1">
      <c r="A199" s="10">
        <v>198.0</v>
      </c>
      <c r="B199" s="3" t="s">
        <v>612</v>
      </c>
      <c r="C199" s="3" t="s">
        <v>584</v>
      </c>
      <c r="D199" s="11" t="s">
        <v>613</v>
      </c>
      <c r="E199" s="3">
        <v>5.70156378198E11</v>
      </c>
      <c r="F199" s="3" t="s">
        <v>614</v>
      </c>
      <c r="G199" s="3" t="s">
        <v>12</v>
      </c>
      <c r="H199" s="12" t="s">
        <v>364</v>
      </c>
      <c r="I199" s="3" t="s">
        <v>354</v>
      </c>
      <c r="J199" s="3" t="s">
        <v>355</v>
      </c>
      <c r="K199" s="3"/>
      <c r="L199" s="3"/>
      <c r="M199" s="3"/>
      <c r="N199" s="3"/>
      <c r="O199" s="3"/>
      <c r="P199" s="3"/>
      <c r="Q199" s="3"/>
    </row>
    <row r="200" ht="15.75" customHeight="1">
      <c r="A200" s="10">
        <v>199.0</v>
      </c>
      <c r="B200" s="3" t="s">
        <v>615</v>
      </c>
      <c r="C200" s="3" t="s">
        <v>262</v>
      </c>
      <c r="D200" s="11" t="s">
        <v>616</v>
      </c>
      <c r="E200" s="3">
        <v>5.70156378201E11</v>
      </c>
      <c r="F200" s="3" t="s">
        <v>617</v>
      </c>
      <c r="G200" s="3" t="s">
        <v>12</v>
      </c>
      <c r="H200" s="12" t="s">
        <v>364</v>
      </c>
      <c r="I200" s="3" t="s">
        <v>354</v>
      </c>
      <c r="J200" s="3" t="s">
        <v>355</v>
      </c>
      <c r="K200" s="3"/>
      <c r="L200" s="3"/>
      <c r="M200" s="3"/>
      <c r="N200" s="3"/>
      <c r="O200" s="3"/>
      <c r="P200" s="3"/>
      <c r="Q200" s="3"/>
    </row>
    <row r="201" ht="15.75" customHeight="1">
      <c r="A201" s="10">
        <v>200.0</v>
      </c>
      <c r="B201" s="3" t="s">
        <v>262</v>
      </c>
      <c r="C201" s="3" t="s">
        <v>618</v>
      </c>
      <c r="D201" s="11" t="s">
        <v>619</v>
      </c>
      <c r="E201" s="3">
        <v>5.70156378203E11</v>
      </c>
      <c r="F201" s="3" t="s">
        <v>620</v>
      </c>
      <c r="G201" s="3" t="s">
        <v>37</v>
      </c>
      <c r="H201" s="12" t="s">
        <v>353</v>
      </c>
      <c r="I201" s="3" t="s">
        <v>354</v>
      </c>
      <c r="J201" s="3" t="s">
        <v>355</v>
      </c>
      <c r="K201" s="3"/>
      <c r="L201" s="3"/>
      <c r="M201" s="3"/>
      <c r="N201" s="3"/>
      <c r="O201" s="3"/>
      <c r="P201" s="3"/>
      <c r="Q201" s="3"/>
    </row>
    <row r="202" ht="15.75" customHeight="1">
      <c r="A202" s="10">
        <v>201.0</v>
      </c>
      <c r="B202" s="3" t="s">
        <v>92</v>
      </c>
      <c r="C202" s="3" t="s">
        <v>621</v>
      </c>
      <c r="D202" s="11" t="s">
        <v>622</v>
      </c>
      <c r="E202" s="3">
        <v>5.70156378208E11</v>
      </c>
      <c r="F202" s="3" t="s">
        <v>623</v>
      </c>
      <c r="G202" s="3" t="s">
        <v>12</v>
      </c>
      <c r="H202" s="12" t="s">
        <v>484</v>
      </c>
      <c r="I202" s="3" t="s">
        <v>354</v>
      </c>
      <c r="J202" s="3" t="s">
        <v>355</v>
      </c>
      <c r="K202" s="3"/>
      <c r="L202" s="3"/>
      <c r="M202" s="3"/>
      <c r="N202" s="3"/>
      <c r="O202" s="3"/>
      <c r="P202" s="3"/>
      <c r="Q202" s="3"/>
    </row>
    <row r="203" ht="15.75" customHeight="1">
      <c r="A203" s="10">
        <v>202.0</v>
      </c>
      <c r="B203" s="3" t="s">
        <v>533</v>
      </c>
      <c r="C203" s="3" t="s">
        <v>92</v>
      </c>
      <c r="D203" s="11" t="s">
        <v>624</v>
      </c>
      <c r="E203" s="3">
        <v>5.70156378209E11</v>
      </c>
      <c r="F203" s="3" t="s">
        <v>625</v>
      </c>
      <c r="G203" s="3" t="s">
        <v>12</v>
      </c>
      <c r="H203" s="12" t="s">
        <v>364</v>
      </c>
      <c r="I203" s="3" t="s">
        <v>354</v>
      </c>
      <c r="J203" s="3" t="s">
        <v>355</v>
      </c>
      <c r="K203" s="3"/>
      <c r="L203" s="3"/>
      <c r="M203" s="3"/>
      <c r="N203" s="3"/>
      <c r="O203" s="3"/>
      <c r="P203" s="3"/>
      <c r="Q203" s="3"/>
    </row>
    <row r="204" ht="15.75" customHeight="1">
      <c r="A204" s="10">
        <v>203.0</v>
      </c>
      <c r="B204" s="3" t="s">
        <v>252</v>
      </c>
      <c r="C204" s="3" t="s">
        <v>260</v>
      </c>
      <c r="D204" s="11" t="s">
        <v>626</v>
      </c>
      <c r="E204" s="3">
        <v>5.70156378211E11</v>
      </c>
      <c r="F204" s="3" t="s">
        <v>627</v>
      </c>
      <c r="G204" s="3" t="s">
        <v>12</v>
      </c>
      <c r="H204" s="12" t="s">
        <v>364</v>
      </c>
      <c r="I204" s="3" t="s">
        <v>354</v>
      </c>
      <c r="J204" s="3" t="s">
        <v>355</v>
      </c>
      <c r="K204" s="3"/>
      <c r="L204" s="3"/>
      <c r="M204" s="3"/>
      <c r="N204" s="3"/>
      <c r="O204" s="3"/>
      <c r="P204" s="3"/>
      <c r="Q204" s="3"/>
    </row>
    <row r="205" ht="15.75" customHeight="1">
      <c r="A205" s="10">
        <v>204.0</v>
      </c>
      <c r="B205" s="3" t="s">
        <v>628</v>
      </c>
      <c r="C205" s="3" t="s">
        <v>210</v>
      </c>
      <c r="D205" s="11" t="s">
        <v>346</v>
      </c>
      <c r="E205" s="3">
        <v>5.70156378212E11</v>
      </c>
      <c r="F205" s="3" t="s">
        <v>629</v>
      </c>
      <c r="G205" s="3" t="s">
        <v>12</v>
      </c>
      <c r="H205" s="12" t="s">
        <v>484</v>
      </c>
      <c r="I205" s="3" t="s">
        <v>354</v>
      </c>
      <c r="J205" s="3" t="s">
        <v>355</v>
      </c>
      <c r="K205" s="3"/>
      <c r="L205" s="3"/>
      <c r="M205" s="3"/>
      <c r="N205" s="3"/>
      <c r="O205" s="3"/>
      <c r="P205" s="3"/>
      <c r="Q205" s="3"/>
    </row>
    <row r="206" ht="15.75" customHeight="1">
      <c r="A206" s="10">
        <v>205.0</v>
      </c>
      <c r="B206" s="3" t="s">
        <v>471</v>
      </c>
      <c r="C206" s="3" t="s">
        <v>630</v>
      </c>
      <c r="D206" s="11" t="s">
        <v>631</v>
      </c>
      <c r="E206" s="3">
        <v>5.70156378215E11</v>
      </c>
      <c r="F206" s="3" t="s">
        <v>632</v>
      </c>
      <c r="G206" s="3" t="s">
        <v>12</v>
      </c>
      <c r="H206" s="12" t="s">
        <v>484</v>
      </c>
      <c r="I206" s="3" t="s">
        <v>354</v>
      </c>
      <c r="J206" s="3" t="s">
        <v>355</v>
      </c>
      <c r="K206" s="3"/>
      <c r="L206" s="3"/>
      <c r="M206" s="3"/>
      <c r="N206" s="3"/>
      <c r="O206" s="3"/>
      <c r="P206" s="3"/>
      <c r="Q206" s="3"/>
    </row>
    <row r="207" ht="15.75" customHeight="1">
      <c r="A207" s="10">
        <v>206.0</v>
      </c>
      <c r="B207" s="3" t="s">
        <v>633</v>
      </c>
      <c r="C207" s="3" t="s">
        <v>628</v>
      </c>
      <c r="D207" s="11" t="s">
        <v>634</v>
      </c>
      <c r="E207" s="3">
        <v>5.70156378218E11</v>
      </c>
      <c r="F207" s="3" t="s">
        <v>635</v>
      </c>
      <c r="G207" s="3" t="s">
        <v>12</v>
      </c>
      <c r="H207" s="12" t="s">
        <v>484</v>
      </c>
      <c r="I207" s="3" t="s">
        <v>354</v>
      </c>
      <c r="J207" s="3" t="s">
        <v>355</v>
      </c>
      <c r="K207" s="3"/>
      <c r="L207" s="3"/>
      <c r="M207" s="3"/>
      <c r="N207" s="3"/>
      <c r="O207" s="3"/>
      <c r="P207" s="3"/>
      <c r="Q207" s="3"/>
    </row>
    <row r="208" ht="15.75" customHeight="1">
      <c r="A208" s="10">
        <v>207.0</v>
      </c>
      <c r="B208" s="3" t="s">
        <v>636</v>
      </c>
      <c r="C208" s="3" t="s">
        <v>637</v>
      </c>
      <c r="D208" s="11" t="s">
        <v>638</v>
      </c>
      <c r="E208" s="3">
        <v>5.70156378219E11</v>
      </c>
      <c r="F208" s="3" t="s">
        <v>639</v>
      </c>
      <c r="G208" s="3" t="s">
        <v>12</v>
      </c>
      <c r="H208" s="12" t="s">
        <v>484</v>
      </c>
      <c r="I208" s="3" t="s">
        <v>354</v>
      </c>
      <c r="J208" s="3" t="s">
        <v>355</v>
      </c>
      <c r="K208" s="3"/>
      <c r="L208" s="3"/>
      <c r="M208" s="3"/>
      <c r="N208" s="3"/>
      <c r="O208" s="3"/>
      <c r="P208" s="3"/>
      <c r="Q208" s="3"/>
    </row>
    <row r="209" ht="15.75" customHeight="1">
      <c r="A209" s="10">
        <v>208.0</v>
      </c>
      <c r="B209" s="3" t="s">
        <v>640</v>
      </c>
      <c r="C209" s="3" t="s">
        <v>116</v>
      </c>
      <c r="D209" s="11" t="s">
        <v>641</v>
      </c>
      <c r="E209" s="3">
        <v>5.7015637822E11</v>
      </c>
      <c r="F209" s="3" t="s">
        <v>642</v>
      </c>
      <c r="G209" s="3" t="s">
        <v>12</v>
      </c>
      <c r="H209" s="12" t="s">
        <v>364</v>
      </c>
      <c r="I209" s="3" t="s">
        <v>354</v>
      </c>
      <c r="J209" s="3" t="s">
        <v>355</v>
      </c>
      <c r="K209" s="3"/>
      <c r="L209" s="3"/>
      <c r="M209" s="3"/>
      <c r="N209" s="3"/>
      <c r="O209" s="3"/>
      <c r="P209" s="3"/>
      <c r="Q209" s="3"/>
    </row>
    <row r="210" ht="15.75" customHeight="1">
      <c r="A210" s="10">
        <v>209.0</v>
      </c>
      <c r="B210" s="3" t="s">
        <v>643</v>
      </c>
      <c r="C210" s="3" t="s">
        <v>644</v>
      </c>
      <c r="D210" s="11" t="s">
        <v>645</v>
      </c>
      <c r="E210" s="3">
        <v>5.70156378222E11</v>
      </c>
      <c r="F210" s="3" t="s">
        <v>580</v>
      </c>
      <c r="G210" s="3" t="s">
        <v>12</v>
      </c>
      <c r="H210" s="12" t="s">
        <v>364</v>
      </c>
      <c r="I210" s="3" t="s">
        <v>354</v>
      </c>
      <c r="J210" s="3" t="s">
        <v>355</v>
      </c>
      <c r="K210" s="3"/>
      <c r="L210" s="3"/>
      <c r="M210" s="3"/>
      <c r="N210" s="3"/>
      <c r="O210" s="3"/>
      <c r="P210" s="3"/>
      <c r="Q210" s="3"/>
    </row>
    <row r="211" ht="15.75" customHeight="1">
      <c r="A211" s="10">
        <v>210.0</v>
      </c>
      <c r="B211" s="3" t="s">
        <v>646</v>
      </c>
      <c r="C211" s="3" t="s">
        <v>647</v>
      </c>
      <c r="D211" s="11" t="s">
        <v>648</v>
      </c>
      <c r="E211" s="3">
        <v>5.70156378223E11</v>
      </c>
      <c r="F211" s="3" t="s">
        <v>649</v>
      </c>
      <c r="G211" s="3" t="s">
        <v>12</v>
      </c>
      <c r="H211" s="12" t="s">
        <v>364</v>
      </c>
      <c r="I211" s="3" t="s">
        <v>354</v>
      </c>
      <c r="J211" s="3" t="s">
        <v>355</v>
      </c>
      <c r="K211" s="3"/>
      <c r="L211" s="3"/>
      <c r="M211" s="3"/>
      <c r="N211" s="3"/>
      <c r="O211" s="3"/>
      <c r="P211" s="3"/>
      <c r="Q211" s="3"/>
    </row>
    <row r="212" ht="15.75" customHeight="1">
      <c r="A212" s="10">
        <v>211.0</v>
      </c>
      <c r="B212" s="3" t="s">
        <v>599</v>
      </c>
      <c r="C212" s="3" t="s">
        <v>647</v>
      </c>
      <c r="D212" s="11" t="s">
        <v>648</v>
      </c>
      <c r="E212" s="3">
        <v>5.70156378224E11</v>
      </c>
      <c r="F212" s="3" t="s">
        <v>650</v>
      </c>
      <c r="G212" s="3" t="s">
        <v>651</v>
      </c>
      <c r="H212" s="12" t="s">
        <v>364</v>
      </c>
      <c r="I212" s="3" t="s">
        <v>354</v>
      </c>
      <c r="J212" s="3" t="s">
        <v>355</v>
      </c>
      <c r="K212" s="3"/>
      <c r="L212" s="3"/>
      <c r="M212" s="3"/>
      <c r="N212" s="3"/>
      <c r="O212" s="3"/>
      <c r="P212" s="3"/>
      <c r="Q212" s="3"/>
    </row>
    <row r="213" ht="15.75" customHeight="1">
      <c r="A213" s="10">
        <v>212.0</v>
      </c>
      <c r="B213" s="3" t="s">
        <v>652</v>
      </c>
      <c r="C213" s="3" t="s">
        <v>116</v>
      </c>
      <c r="D213" s="11" t="s">
        <v>641</v>
      </c>
      <c r="E213" s="3">
        <v>5.70156378225E11</v>
      </c>
      <c r="F213" s="3" t="s">
        <v>653</v>
      </c>
      <c r="G213" s="3" t="s">
        <v>12</v>
      </c>
      <c r="H213" s="12" t="s">
        <v>364</v>
      </c>
      <c r="I213" s="3" t="s">
        <v>354</v>
      </c>
      <c r="J213" s="3" t="s">
        <v>355</v>
      </c>
      <c r="K213" s="3"/>
      <c r="L213" s="3"/>
      <c r="M213" s="3"/>
      <c r="N213" s="3"/>
      <c r="O213" s="3"/>
      <c r="P213" s="3"/>
      <c r="Q213" s="3"/>
    </row>
    <row r="214" ht="15.75" customHeight="1">
      <c r="A214" s="10">
        <v>213.0</v>
      </c>
      <c r="B214" s="3" t="s">
        <v>654</v>
      </c>
      <c r="C214" s="3" t="s">
        <v>655</v>
      </c>
      <c r="D214" s="11" t="s">
        <v>656</v>
      </c>
      <c r="E214" s="3">
        <v>5.70156378226E11</v>
      </c>
      <c r="F214" s="3" t="s">
        <v>657</v>
      </c>
      <c r="G214" s="3" t="s">
        <v>12</v>
      </c>
      <c r="H214" s="12" t="s">
        <v>364</v>
      </c>
      <c r="I214" s="3" t="s">
        <v>354</v>
      </c>
      <c r="J214" s="3" t="s">
        <v>355</v>
      </c>
      <c r="K214" s="3"/>
      <c r="L214" s="3"/>
      <c r="M214" s="3"/>
      <c r="N214" s="3"/>
      <c r="O214" s="3"/>
      <c r="P214" s="3"/>
      <c r="Q214" s="3"/>
    </row>
    <row r="215" ht="15.75" customHeight="1">
      <c r="A215" s="10">
        <v>214.0</v>
      </c>
      <c r="B215" s="3" t="s">
        <v>633</v>
      </c>
      <c r="C215" s="3" t="s">
        <v>658</v>
      </c>
      <c r="D215" s="11" t="s">
        <v>659</v>
      </c>
      <c r="E215" s="3">
        <v>5.70156378227E11</v>
      </c>
      <c r="F215" s="3" t="s">
        <v>82</v>
      </c>
      <c r="G215" s="3" t="s">
        <v>12</v>
      </c>
      <c r="H215" s="12" t="s">
        <v>364</v>
      </c>
      <c r="I215" s="3" t="s">
        <v>354</v>
      </c>
      <c r="J215" s="3" t="s">
        <v>355</v>
      </c>
      <c r="K215" s="3"/>
      <c r="L215" s="3"/>
      <c r="M215" s="3"/>
      <c r="N215" s="3"/>
      <c r="O215" s="3"/>
      <c r="P215" s="3"/>
      <c r="Q215" s="3"/>
    </row>
    <row r="216" ht="15.75" customHeight="1">
      <c r="A216" s="10">
        <v>215.0</v>
      </c>
      <c r="B216" s="3" t="s">
        <v>660</v>
      </c>
      <c r="C216" s="3" t="s">
        <v>661</v>
      </c>
      <c r="D216" s="11" t="s">
        <v>662</v>
      </c>
      <c r="E216" s="3">
        <v>5.70156378229E11</v>
      </c>
      <c r="F216" s="3" t="s">
        <v>663</v>
      </c>
      <c r="G216" s="3" t="s">
        <v>12</v>
      </c>
      <c r="H216" s="12" t="s">
        <v>364</v>
      </c>
      <c r="I216" s="3" t="s">
        <v>354</v>
      </c>
      <c r="J216" s="3" t="s">
        <v>355</v>
      </c>
      <c r="K216" s="3"/>
      <c r="L216" s="3"/>
      <c r="M216" s="3"/>
      <c r="N216" s="3"/>
      <c r="O216" s="3"/>
      <c r="P216" s="3"/>
      <c r="Q216" s="3"/>
    </row>
    <row r="217" ht="15.75" customHeight="1">
      <c r="A217" s="10">
        <v>216.0</v>
      </c>
      <c r="B217" s="3" t="s">
        <v>612</v>
      </c>
      <c r="C217" s="3" t="s">
        <v>664</v>
      </c>
      <c r="D217" s="11" t="s">
        <v>665</v>
      </c>
      <c r="E217" s="3">
        <v>5.7015637823E11</v>
      </c>
      <c r="F217" s="3" t="s">
        <v>666</v>
      </c>
      <c r="G217" s="3" t="s">
        <v>12</v>
      </c>
      <c r="H217" s="12" t="s">
        <v>364</v>
      </c>
      <c r="I217" s="3" t="s">
        <v>354</v>
      </c>
      <c r="J217" s="3" t="s">
        <v>355</v>
      </c>
      <c r="K217" s="3"/>
      <c r="L217" s="3"/>
      <c r="M217" s="3"/>
      <c r="N217" s="3"/>
      <c r="O217" s="3"/>
      <c r="P217" s="3"/>
      <c r="Q217" s="3"/>
    </row>
    <row r="218" ht="15.75" customHeight="1">
      <c r="A218" s="10">
        <v>217.0</v>
      </c>
      <c r="B218" s="3" t="s">
        <v>667</v>
      </c>
      <c r="C218" s="3" t="s">
        <v>92</v>
      </c>
      <c r="D218" s="11" t="s">
        <v>332</v>
      </c>
      <c r="E218" s="3">
        <v>5.70156378231E11</v>
      </c>
      <c r="F218" s="3" t="s">
        <v>668</v>
      </c>
      <c r="G218" s="3" t="s">
        <v>12</v>
      </c>
      <c r="H218" s="12" t="s">
        <v>364</v>
      </c>
      <c r="I218" s="3" t="s">
        <v>354</v>
      </c>
      <c r="J218" s="3" t="s">
        <v>355</v>
      </c>
      <c r="K218" s="3"/>
      <c r="L218" s="3"/>
      <c r="M218" s="3"/>
      <c r="N218" s="3"/>
      <c r="O218" s="3"/>
      <c r="P218" s="3"/>
      <c r="Q218" s="3"/>
    </row>
    <row r="219" ht="15.75" customHeight="1">
      <c r="A219" s="10">
        <v>218.0</v>
      </c>
      <c r="B219" s="3" t="s">
        <v>669</v>
      </c>
      <c r="C219" s="3" t="s">
        <v>670</v>
      </c>
      <c r="D219" s="11" t="s">
        <v>671</v>
      </c>
      <c r="E219" s="3">
        <v>5.70156378232E11</v>
      </c>
      <c r="F219" s="3" t="s">
        <v>672</v>
      </c>
      <c r="G219" s="3" t="s">
        <v>12</v>
      </c>
      <c r="H219" s="12" t="s">
        <v>364</v>
      </c>
      <c r="I219" s="3" t="s">
        <v>354</v>
      </c>
      <c r="J219" s="3" t="s">
        <v>355</v>
      </c>
      <c r="K219" s="3"/>
      <c r="L219" s="3"/>
      <c r="M219" s="3"/>
      <c r="N219" s="3"/>
      <c r="O219" s="3"/>
      <c r="P219" s="3"/>
      <c r="Q219" s="3"/>
    </row>
    <row r="220" ht="15.75" customHeight="1">
      <c r="A220" s="10">
        <v>219.0</v>
      </c>
      <c r="B220" s="3" t="s">
        <v>441</v>
      </c>
      <c r="C220" s="3" t="s">
        <v>340</v>
      </c>
      <c r="D220" s="11" t="s">
        <v>280</v>
      </c>
      <c r="E220" s="3">
        <v>5.70156378233E11</v>
      </c>
      <c r="F220" s="3" t="s">
        <v>673</v>
      </c>
      <c r="G220" s="3" t="s">
        <v>12</v>
      </c>
      <c r="H220" s="12" t="s">
        <v>364</v>
      </c>
      <c r="I220" s="3" t="s">
        <v>354</v>
      </c>
      <c r="J220" s="3" t="s">
        <v>355</v>
      </c>
      <c r="K220" s="3"/>
      <c r="L220" s="3"/>
      <c r="M220" s="3"/>
      <c r="N220" s="3"/>
      <c r="O220" s="3"/>
      <c r="P220" s="3"/>
      <c r="Q220" s="3"/>
    </row>
    <row r="221" ht="15.75" customHeight="1">
      <c r="A221" s="10">
        <v>220.0</v>
      </c>
      <c r="B221" s="3" t="s">
        <v>400</v>
      </c>
      <c r="C221" s="3" t="s">
        <v>674</v>
      </c>
      <c r="D221" s="11" t="s">
        <v>675</v>
      </c>
      <c r="E221" s="3">
        <v>5.70156378234E11</v>
      </c>
      <c r="F221" s="3" t="s">
        <v>676</v>
      </c>
      <c r="G221" s="3" t="s">
        <v>12</v>
      </c>
      <c r="H221" s="12" t="s">
        <v>364</v>
      </c>
      <c r="I221" s="3" t="s">
        <v>354</v>
      </c>
      <c r="J221" s="3" t="s">
        <v>355</v>
      </c>
      <c r="K221" s="3"/>
      <c r="L221" s="3"/>
      <c r="M221" s="3"/>
      <c r="N221" s="3"/>
      <c r="O221" s="3"/>
      <c r="P221" s="3"/>
      <c r="Q221" s="3"/>
    </row>
    <row r="222" ht="15.75" customHeight="1">
      <c r="A222" s="10">
        <v>221.0</v>
      </c>
      <c r="B222" s="3" t="s">
        <v>677</v>
      </c>
      <c r="C222" s="3" t="s">
        <v>24</v>
      </c>
      <c r="D222" s="11" t="s">
        <v>504</v>
      </c>
      <c r="E222" s="3">
        <v>5.70156378236E11</v>
      </c>
      <c r="F222" s="3" t="s">
        <v>678</v>
      </c>
      <c r="G222" s="3" t="s">
        <v>12</v>
      </c>
      <c r="H222" s="12" t="s">
        <v>364</v>
      </c>
      <c r="I222" s="3" t="s">
        <v>354</v>
      </c>
      <c r="J222" s="3" t="s">
        <v>355</v>
      </c>
      <c r="K222" s="3"/>
      <c r="L222" s="3"/>
      <c r="M222" s="3"/>
      <c r="N222" s="3"/>
      <c r="O222" s="3"/>
      <c r="P222" s="3"/>
      <c r="Q222" s="3"/>
    </row>
    <row r="223" ht="15.75" customHeight="1">
      <c r="A223" s="10">
        <v>222.0</v>
      </c>
      <c r="B223" s="3" t="s">
        <v>254</v>
      </c>
      <c r="C223" s="3" t="s">
        <v>679</v>
      </c>
      <c r="D223" s="11" t="s">
        <v>277</v>
      </c>
      <c r="E223" s="3">
        <v>5.70156378237E11</v>
      </c>
      <c r="F223" s="3" t="s">
        <v>434</v>
      </c>
      <c r="G223" s="3" t="s">
        <v>12</v>
      </c>
      <c r="H223" s="12" t="s">
        <v>364</v>
      </c>
      <c r="I223" s="3" t="s">
        <v>354</v>
      </c>
      <c r="J223" s="3" t="s">
        <v>355</v>
      </c>
      <c r="K223" s="3"/>
      <c r="L223" s="3"/>
      <c r="M223" s="3"/>
      <c r="N223" s="3"/>
      <c r="O223" s="3"/>
      <c r="P223" s="3"/>
      <c r="Q223" s="3"/>
    </row>
    <row r="224" ht="15.75" customHeight="1">
      <c r="A224" s="10">
        <v>223.0</v>
      </c>
      <c r="B224" s="3" t="s">
        <v>680</v>
      </c>
      <c r="C224" s="3" t="s">
        <v>681</v>
      </c>
      <c r="D224" s="11" t="s">
        <v>682</v>
      </c>
      <c r="E224" s="3">
        <v>5.70156378239E11</v>
      </c>
      <c r="F224" s="3" t="s">
        <v>683</v>
      </c>
      <c r="G224" s="3" t="s">
        <v>12</v>
      </c>
      <c r="H224" s="12" t="s">
        <v>364</v>
      </c>
      <c r="I224" s="3" t="s">
        <v>354</v>
      </c>
      <c r="J224" s="3" t="s">
        <v>355</v>
      </c>
      <c r="K224" s="3"/>
      <c r="L224" s="3"/>
      <c r="M224" s="3"/>
      <c r="N224" s="3"/>
      <c r="O224" s="3"/>
      <c r="P224" s="3"/>
      <c r="Q224" s="3"/>
    </row>
    <row r="225" ht="15.75" customHeight="1">
      <c r="A225" s="10">
        <v>224.0</v>
      </c>
      <c r="B225" s="9" t="s">
        <v>439</v>
      </c>
      <c r="C225" s="3" t="s">
        <v>684</v>
      </c>
      <c r="D225" s="11" t="s">
        <v>685</v>
      </c>
      <c r="E225" s="3">
        <v>5.7015637824E11</v>
      </c>
      <c r="F225" s="3" t="s">
        <v>686</v>
      </c>
      <c r="G225" s="3" t="s">
        <v>12</v>
      </c>
      <c r="H225" s="12" t="s">
        <v>364</v>
      </c>
      <c r="I225" s="3" t="s">
        <v>354</v>
      </c>
      <c r="J225" s="3" t="s">
        <v>355</v>
      </c>
      <c r="K225" s="3"/>
      <c r="L225" s="3"/>
      <c r="M225" s="3"/>
      <c r="N225" s="3"/>
      <c r="O225" s="3"/>
      <c r="P225" s="3"/>
      <c r="Q225" s="3"/>
    </row>
    <row r="226" ht="15.75" customHeight="1">
      <c r="A226" s="10">
        <v>225.0</v>
      </c>
      <c r="B226" s="3" t="s">
        <v>687</v>
      </c>
      <c r="C226" s="3" t="s">
        <v>688</v>
      </c>
      <c r="D226" s="11" t="s">
        <v>689</v>
      </c>
      <c r="E226" s="3">
        <v>5.70156378242E11</v>
      </c>
      <c r="F226" s="3" t="s">
        <v>690</v>
      </c>
      <c r="G226" s="3" t="s">
        <v>12</v>
      </c>
      <c r="H226" s="12" t="s">
        <v>364</v>
      </c>
      <c r="I226" s="3" t="s">
        <v>354</v>
      </c>
      <c r="J226" s="3" t="s">
        <v>355</v>
      </c>
      <c r="K226" s="3"/>
      <c r="L226" s="3"/>
      <c r="M226" s="3"/>
      <c r="N226" s="3"/>
      <c r="O226" s="3"/>
      <c r="P226" s="3"/>
      <c r="Q226" s="3"/>
    </row>
    <row r="227" ht="15.75" customHeight="1">
      <c r="A227" s="10">
        <v>226.0</v>
      </c>
      <c r="B227" s="3" t="s">
        <v>691</v>
      </c>
      <c r="C227" s="3" t="s">
        <v>92</v>
      </c>
      <c r="D227" s="11" t="s">
        <v>692</v>
      </c>
      <c r="E227" s="3">
        <v>5.70156378244E11</v>
      </c>
      <c r="F227" s="3" t="s">
        <v>693</v>
      </c>
      <c r="G227" s="3" t="s">
        <v>12</v>
      </c>
      <c r="H227" s="12" t="s">
        <v>364</v>
      </c>
      <c r="I227" s="3" t="s">
        <v>354</v>
      </c>
      <c r="J227" s="3" t="s">
        <v>355</v>
      </c>
      <c r="K227" s="3"/>
      <c r="L227" s="3"/>
      <c r="M227" s="3"/>
      <c r="N227" s="3"/>
      <c r="O227" s="3"/>
      <c r="P227" s="3"/>
      <c r="Q227" s="3"/>
    </row>
    <row r="228" ht="15.75" customHeight="1">
      <c r="A228" s="10">
        <v>227.0</v>
      </c>
      <c r="B228" s="3" t="s">
        <v>694</v>
      </c>
      <c r="C228" s="3" t="s">
        <v>695</v>
      </c>
      <c r="D228" s="11" t="s">
        <v>696</v>
      </c>
      <c r="E228" s="3">
        <v>5.70156378245E11</v>
      </c>
      <c r="F228" s="3" t="s">
        <v>697</v>
      </c>
      <c r="G228" s="3" t="s">
        <v>12</v>
      </c>
      <c r="H228" s="12" t="s">
        <v>364</v>
      </c>
      <c r="I228" s="3" t="s">
        <v>354</v>
      </c>
      <c r="J228" s="3" t="s">
        <v>355</v>
      </c>
      <c r="K228" s="3"/>
      <c r="L228" s="3"/>
      <c r="M228" s="3"/>
      <c r="N228" s="3"/>
      <c r="O228" s="3"/>
      <c r="P228" s="3"/>
      <c r="Q228" s="3"/>
    </row>
    <row r="229" ht="15.75" customHeight="1">
      <c r="A229" s="10">
        <v>228.0</v>
      </c>
      <c r="B229" s="3" t="s">
        <v>698</v>
      </c>
      <c r="C229" s="3" t="s">
        <v>699</v>
      </c>
      <c r="D229" s="11" t="s">
        <v>700</v>
      </c>
      <c r="E229" s="3">
        <v>5.70156378246E11</v>
      </c>
      <c r="F229" s="3" t="s">
        <v>701</v>
      </c>
      <c r="G229" s="3" t="s">
        <v>12</v>
      </c>
      <c r="H229" s="12" t="s">
        <v>364</v>
      </c>
      <c r="I229" s="3" t="s">
        <v>354</v>
      </c>
      <c r="J229" s="3" t="s">
        <v>355</v>
      </c>
      <c r="K229" s="3"/>
      <c r="L229" s="3"/>
      <c r="M229" s="3"/>
      <c r="N229" s="3"/>
      <c r="O229" s="3"/>
      <c r="P229" s="3"/>
      <c r="Q229" s="3"/>
    </row>
    <row r="230" ht="15.75" customHeight="1">
      <c r="A230" s="10">
        <v>229.0</v>
      </c>
      <c r="B230" s="3" t="s">
        <v>702</v>
      </c>
      <c r="C230" s="3" t="s">
        <v>703</v>
      </c>
      <c r="D230" s="11" t="s">
        <v>704</v>
      </c>
      <c r="E230" s="3">
        <v>5.70156378249E11</v>
      </c>
      <c r="F230" s="3" t="s">
        <v>95</v>
      </c>
      <c r="G230" s="3" t="s">
        <v>12</v>
      </c>
      <c r="H230" s="12" t="s">
        <v>364</v>
      </c>
      <c r="I230" s="3" t="s">
        <v>354</v>
      </c>
      <c r="J230" s="3" t="s">
        <v>355</v>
      </c>
      <c r="K230" s="3"/>
      <c r="L230" s="3"/>
      <c r="M230" s="3"/>
      <c r="N230" s="3"/>
      <c r="O230" s="3"/>
      <c r="P230" s="3"/>
      <c r="Q230" s="3"/>
    </row>
    <row r="231" ht="15.75" customHeight="1">
      <c r="A231" s="10">
        <v>230.0</v>
      </c>
      <c r="B231" s="3" t="s">
        <v>705</v>
      </c>
      <c r="C231" s="3" t="s">
        <v>706</v>
      </c>
      <c r="D231" s="11" t="s">
        <v>707</v>
      </c>
      <c r="E231" s="3">
        <v>5.7015637825E11</v>
      </c>
      <c r="F231" s="3" t="s">
        <v>32</v>
      </c>
      <c r="G231" s="3" t="s">
        <v>37</v>
      </c>
      <c r="H231" s="12" t="s">
        <v>364</v>
      </c>
      <c r="I231" s="3" t="s">
        <v>354</v>
      </c>
      <c r="J231" s="3" t="s">
        <v>355</v>
      </c>
      <c r="K231" s="3"/>
      <c r="L231" s="3"/>
      <c r="M231" s="3"/>
      <c r="N231" s="3"/>
      <c r="O231" s="3"/>
      <c r="P231" s="3"/>
      <c r="Q231" s="3"/>
    </row>
    <row r="232" ht="15.75" customHeight="1">
      <c r="A232" s="10">
        <v>231.0</v>
      </c>
      <c r="B232" s="3" t="s">
        <v>508</v>
      </c>
      <c r="C232" s="3" t="s">
        <v>708</v>
      </c>
      <c r="D232" s="11" t="s">
        <v>675</v>
      </c>
      <c r="E232" s="3">
        <v>5.70156378251E11</v>
      </c>
      <c r="F232" s="3" t="s">
        <v>709</v>
      </c>
      <c r="G232" s="3" t="s">
        <v>12</v>
      </c>
      <c r="H232" s="12" t="s">
        <v>484</v>
      </c>
      <c r="I232" s="3" t="s">
        <v>354</v>
      </c>
      <c r="J232" s="3" t="s">
        <v>355</v>
      </c>
      <c r="K232" s="3"/>
      <c r="L232" s="3"/>
      <c r="M232" s="3"/>
      <c r="N232" s="3"/>
      <c r="O232" s="3"/>
      <c r="P232" s="3"/>
      <c r="Q232" s="3"/>
    </row>
    <row r="233" ht="15.75" customHeight="1">
      <c r="A233" s="10">
        <v>232.0</v>
      </c>
      <c r="B233" s="3" t="s">
        <v>710</v>
      </c>
      <c r="C233" s="3" t="s">
        <v>711</v>
      </c>
      <c r="D233" s="11" t="s">
        <v>712</v>
      </c>
      <c r="E233" s="3">
        <v>5.70156378255E11</v>
      </c>
      <c r="F233" s="3" t="s">
        <v>713</v>
      </c>
      <c r="G233" s="3" t="s">
        <v>12</v>
      </c>
      <c r="H233" s="12" t="s">
        <v>364</v>
      </c>
      <c r="I233" s="3" t="s">
        <v>354</v>
      </c>
      <c r="J233" s="3" t="s">
        <v>355</v>
      </c>
      <c r="K233" s="3"/>
      <c r="L233" s="3"/>
      <c r="M233" s="3"/>
      <c r="N233" s="3"/>
      <c r="O233" s="3"/>
      <c r="P233" s="3"/>
      <c r="Q233" s="3"/>
    </row>
    <row r="234" ht="15.75" customHeight="1">
      <c r="A234" s="10">
        <v>233.0</v>
      </c>
      <c r="B234" s="3" t="s">
        <v>109</v>
      </c>
      <c r="C234" s="3" t="s">
        <v>714</v>
      </c>
      <c r="D234" s="11" t="s">
        <v>156</v>
      </c>
      <c r="E234" s="3">
        <v>5.70156378257E11</v>
      </c>
      <c r="F234" s="3" t="s">
        <v>715</v>
      </c>
      <c r="G234" s="3" t="s">
        <v>12</v>
      </c>
      <c r="H234" s="12" t="s">
        <v>364</v>
      </c>
      <c r="I234" s="3" t="s">
        <v>354</v>
      </c>
      <c r="J234" s="3" t="s">
        <v>355</v>
      </c>
      <c r="K234" s="3"/>
      <c r="L234" s="3"/>
      <c r="M234" s="3"/>
      <c r="N234" s="3"/>
      <c r="O234" s="3"/>
      <c r="P234" s="3"/>
      <c r="Q234" s="3"/>
    </row>
    <row r="235" ht="15.75" customHeight="1">
      <c r="A235" s="10">
        <v>234.0</v>
      </c>
      <c r="B235" s="3" t="s">
        <v>702</v>
      </c>
      <c r="C235" s="3" t="s">
        <v>716</v>
      </c>
      <c r="D235" s="11" t="s">
        <v>717</v>
      </c>
      <c r="E235" s="3">
        <v>5.70156378258E11</v>
      </c>
      <c r="F235" s="3" t="s">
        <v>718</v>
      </c>
      <c r="G235" s="3" t="s">
        <v>12</v>
      </c>
      <c r="H235" s="12" t="s">
        <v>364</v>
      </c>
      <c r="I235" s="3" t="s">
        <v>354</v>
      </c>
      <c r="J235" s="3" t="s">
        <v>355</v>
      </c>
      <c r="K235" s="3"/>
      <c r="L235" s="3"/>
      <c r="M235" s="3"/>
      <c r="N235" s="3"/>
      <c r="O235" s="3"/>
      <c r="P235" s="3"/>
      <c r="Q235" s="3"/>
    </row>
    <row r="236" ht="15.75" customHeight="1">
      <c r="A236" s="10">
        <v>235.0</v>
      </c>
      <c r="B236" s="3" t="s">
        <v>719</v>
      </c>
      <c r="C236" s="3" t="s">
        <v>508</v>
      </c>
      <c r="D236" s="11" t="s">
        <v>466</v>
      </c>
      <c r="E236" s="9">
        <v>5.70156378261E11</v>
      </c>
      <c r="F236" s="3" t="s">
        <v>720</v>
      </c>
      <c r="G236" s="3" t="s">
        <v>12</v>
      </c>
      <c r="H236" s="12" t="s">
        <v>484</v>
      </c>
      <c r="I236" s="3" t="s">
        <v>354</v>
      </c>
      <c r="J236" s="3" t="s">
        <v>355</v>
      </c>
      <c r="K236" s="3"/>
      <c r="L236" s="3"/>
      <c r="M236" s="3"/>
      <c r="N236" s="3"/>
      <c r="O236" s="3"/>
      <c r="P236" s="3"/>
      <c r="Q236" s="3"/>
    </row>
    <row r="237" ht="15.75" customHeight="1">
      <c r="A237" s="10">
        <v>236.0</v>
      </c>
      <c r="B237" s="3" t="s">
        <v>721</v>
      </c>
      <c r="C237" s="3" t="s">
        <v>722</v>
      </c>
      <c r="D237" s="11" t="s">
        <v>216</v>
      </c>
      <c r="E237" s="3">
        <v>5.70156378262E11</v>
      </c>
      <c r="F237" s="3" t="s">
        <v>723</v>
      </c>
      <c r="G237" s="3" t="s">
        <v>12</v>
      </c>
      <c r="H237" s="12" t="s">
        <v>484</v>
      </c>
      <c r="I237" s="3" t="s">
        <v>354</v>
      </c>
      <c r="J237" s="3" t="s">
        <v>355</v>
      </c>
      <c r="K237" s="3"/>
      <c r="L237" s="3"/>
      <c r="M237" s="3"/>
      <c r="N237" s="3"/>
      <c r="O237" s="3"/>
      <c r="P237" s="3"/>
      <c r="Q237" s="3"/>
    </row>
    <row r="238" ht="15.75" customHeight="1">
      <c r="A238" s="10">
        <v>237.0</v>
      </c>
      <c r="B238" s="3" t="s">
        <v>724</v>
      </c>
      <c r="C238" s="3" t="s">
        <v>725</v>
      </c>
      <c r="D238" s="11" t="s">
        <v>726</v>
      </c>
      <c r="E238" s="9">
        <v>5.70156378263E11</v>
      </c>
      <c r="F238" s="3" t="s">
        <v>727</v>
      </c>
      <c r="G238" s="3" t="s">
        <v>12</v>
      </c>
      <c r="H238" s="12" t="s">
        <v>364</v>
      </c>
      <c r="I238" s="3" t="s">
        <v>354</v>
      </c>
      <c r="J238" s="3" t="s">
        <v>355</v>
      </c>
      <c r="K238" s="3"/>
      <c r="L238" s="3"/>
      <c r="M238" s="3"/>
      <c r="N238" s="3"/>
      <c r="O238" s="3"/>
      <c r="P238" s="3"/>
      <c r="Q238" s="3"/>
    </row>
    <row r="239" ht="15.75" customHeight="1">
      <c r="A239" s="10">
        <v>238.0</v>
      </c>
      <c r="B239" s="9" t="s">
        <v>728</v>
      </c>
      <c r="C239" s="3" t="s">
        <v>508</v>
      </c>
      <c r="D239" s="11" t="s">
        <v>729</v>
      </c>
      <c r="E239" s="3">
        <v>5.70156378264E11</v>
      </c>
      <c r="F239" s="3" t="s">
        <v>730</v>
      </c>
      <c r="G239" s="3" t="s">
        <v>12</v>
      </c>
      <c r="H239" s="12" t="s">
        <v>364</v>
      </c>
      <c r="I239" s="3" t="s">
        <v>354</v>
      </c>
      <c r="J239" s="3" t="s">
        <v>355</v>
      </c>
      <c r="K239" s="3"/>
      <c r="L239" s="3"/>
      <c r="M239" s="3"/>
      <c r="N239" s="3"/>
      <c r="O239" s="3"/>
      <c r="P239" s="3"/>
      <c r="Q239" s="3"/>
    </row>
    <row r="240" ht="15.75" customHeight="1">
      <c r="A240" s="10">
        <v>239.0</v>
      </c>
      <c r="B240" s="3" t="s">
        <v>469</v>
      </c>
      <c r="C240" s="3" t="s">
        <v>731</v>
      </c>
      <c r="D240" s="11" t="s">
        <v>732</v>
      </c>
      <c r="E240" s="3">
        <v>5.70156378269E11</v>
      </c>
      <c r="F240" s="3" t="s">
        <v>733</v>
      </c>
      <c r="G240" s="3" t="s">
        <v>12</v>
      </c>
      <c r="H240" s="12" t="s">
        <v>734</v>
      </c>
      <c r="I240" s="3" t="s">
        <v>354</v>
      </c>
      <c r="J240" s="3" t="s">
        <v>355</v>
      </c>
      <c r="K240" s="3"/>
      <c r="L240" s="3"/>
      <c r="M240" s="3"/>
      <c r="N240" s="3"/>
      <c r="O240" s="3"/>
      <c r="P240" s="3"/>
      <c r="Q240" s="3"/>
    </row>
    <row r="241" ht="15.75" customHeight="1">
      <c r="A241" s="10">
        <v>240.0</v>
      </c>
      <c r="B241" s="3" t="s">
        <v>735</v>
      </c>
      <c r="C241" s="3" t="s">
        <v>736</v>
      </c>
      <c r="D241" s="11" t="s">
        <v>671</v>
      </c>
      <c r="E241" s="3">
        <v>5.7015637827E11</v>
      </c>
      <c r="F241" s="3" t="s">
        <v>737</v>
      </c>
      <c r="G241" s="3" t="s">
        <v>12</v>
      </c>
      <c r="H241" s="12" t="s">
        <v>484</v>
      </c>
      <c r="I241" s="3" t="s">
        <v>354</v>
      </c>
      <c r="J241" s="3" t="s">
        <v>355</v>
      </c>
      <c r="K241" s="3"/>
      <c r="L241" s="3"/>
      <c r="M241" s="3"/>
      <c r="N241" s="3"/>
      <c r="O241" s="3"/>
      <c r="P241" s="3"/>
      <c r="Q241" s="3"/>
    </row>
    <row r="242" ht="15.75" customHeight="1">
      <c r="A242" s="10">
        <v>241.0</v>
      </c>
      <c r="B242" s="3" t="s">
        <v>706</v>
      </c>
      <c r="C242" s="3" t="s">
        <v>738</v>
      </c>
      <c r="D242" s="11" t="s">
        <v>671</v>
      </c>
      <c r="E242" s="9">
        <v>5.70156378273E11</v>
      </c>
      <c r="F242" s="3" t="s">
        <v>739</v>
      </c>
      <c r="G242" s="3" t="s">
        <v>12</v>
      </c>
      <c r="H242" s="12" t="s">
        <v>364</v>
      </c>
      <c r="I242" s="3" t="s">
        <v>354</v>
      </c>
      <c r="J242" s="3" t="s">
        <v>355</v>
      </c>
      <c r="K242" s="3"/>
      <c r="L242" s="3"/>
      <c r="M242" s="3"/>
      <c r="N242" s="3"/>
      <c r="O242" s="3"/>
      <c r="P242" s="3"/>
      <c r="Q242" s="3"/>
    </row>
    <row r="243" ht="15.75" customHeight="1">
      <c r="A243" s="10">
        <v>242.0</v>
      </c>
      <c r="B243" s="3" t="s">
        <v>740</v>
      </c>
      <c r="C243" s="3" t="s">
        <v>210</v>
      </c>
      <c r="D243" s="11" t="s">
        <v>346</v>
      </c>
      <c r="E243" s="9">
        <v>5.70156378274E11</v>
      </c>
      <c r="F243" s="3" t="s">
        <v>741</v>
      </c>
      <c r="G243" s="3" t="s">
        <v>12</v>
      </c>
      <c r="H243" s="12" t="s">
        <v>734</v>
      </c>
      <c r="I243" s="3" t="s">
        <v>354</v>
      </c>
      <c r="J243" s="3" t="s">
        <v>355</v>
      </c>
      <c r="K243" s="3"/>
      <c r="L243" s="3"/>
      <c r="M243" s="3"/>
      <c r="N243" s="3"/>
      <c r="O243" s="3"/>
      <c r="P243" s="3"/>
      <c r="Q243" s="3"/>
    </row>
    <row r="244" ht="15.75" customHeight="1">
      <c r="A244" s="10">
        <v>243.0</v>
      </c>
      <c r="B244" s="3" t="s">
        <v>260</v>
      </c>
      <c r="C244" s="3" t="s">
        <v>742</v>
      </c>
      <c r="D244" s="11" t="s">
        <v>743</v>
      </c>
      <c r="E244" s="3">
        <v>5.70156378275E11</v>
      </c>
      <c r="F244" s="3" t="s">
        <v>744</v>
      </c>
      <c r="G244" s="3" t="s">
        <v>12</v>
      </c>
      <c r="H244" s="12" t="s">
        <v>484</v>
      </c>
      <c r="I244" s="3" t="s">
        <v>354</v>
      </c>
      <c r="J244" s="3" t="s">
        <v>355</v>
      </c>
      <c r="K244" s="3"/>
      <c r="L244" s="3"/>
      <c r="M244" s="3"/>
      <c r="N244" s="3"/>
      <c r="O244" s="3"/>
      <c r="P244" s="3"/>
      <c r="Q244" s="3"/>
    </row>
    <row r="245" ht="15.75" customHeight="1">
      <c r="A245" s="10">
        <v>244.0</v>
      </c>
      <c r="B245" s="3" t="s">
        <v>9</v>
      </c>
      <c r="C245" s="3" t="s">
        <v>745</v>
      </c>
      <c r="D245" s="11" t="s">
        <v>746</v>
      </c>
      <c r="E245" s="3">
        <v>5.70156378277E11</v>
      </c>
      <c r="F245" s="3" t="s">
        <v>747</v>
      </c>
      <c r="G245" s="3" t="s">
        <v>12</v>
      </c>
      <c r="H245" s="12" t="s">
        <v>734</v>
      </c>
      <c r="I245" s="3" t="s">
        <v>354</v>
      </c>
      <c r="J245" s="3" t="s">
        <v>355</v>
      </c>
      <c r="K245" s="3"/>
      <c r="L245" s="3"/>
      <c r="M245" s="3"/>
      <c r="N245" s="3"/>
      <c r="O245" s="3"/>
      <c r="P245" s="3"/>
      <c r="Q245" s="3"/>
    </row>
    <row r="246" ht="15.75" customHeight="1">
      <c r="A246" s="10">
        <v>245.0</v>
      </c>
      <c r="B246" s="3" t="s">
        <v>421</v>
      </c>
      <c r="C246" s="3" t="s">
        <v>748</v>
      </c>
      <c r="D246" s="11" t="s">
        <v>749</v>
      </c>
      <c r="E246" s="3">
        <v>5.70156378278E11</v>
      </c>
      <c r="F246" s="3" t="s">
        <v>750</v>
      </c>
      <c r="G246" s="3" t="s">
        <v>12</v>
      </c>
      <c r="H246" s="12" t="s">
        <v>734</v>
      </c>
      <c r="I246" s="3" t="s">
        <v>354</v>
      </c>
      <c r="J246" s="3" t="s">
        <v>355</v>
      </c>
      <c r="K246" s="3"/>
      <c r="L246" s="3"/>
      <c r="M246" s="3"/>
      <c r="N246" s="3"/>
      <c r="O246" s="3"/>
      <c r="P246" s="3"/>
      <c r="Q246" s="3"/>
    </row>
    <row r="247" ht="15.75" customHeight="1">
      <c r="A247" s="10">
        <v>246.0</v>
      </c>
      <c r="B247" s="3" t="s">
        <v>751</v>
      </c>
      <c r="C247" s="3" t="s">
        <v>752</v>
      </c>
      <c r="D247" s="11" t="s">
        <v>753</v>
      </c>
      <c r="E247" s="3">
        <v>5.70156378279E11</v>
      </c>
      <c r="F247" s="3" t="s">
        <v>754</v>
      </c>
      <c r="G247" s="3" t="s">
        <v>12</v>
      </c>
      <c r="H247" s="12" t="s">
        <v>364</v>
      </c>
      <c r="I247" s="3" t="s">
        <v>354</v>
      </c>
      <c r="J247" s="3" t="s">
        <v>355</v>
      </c>
      <c r="K247" s="3"/>
      <c r="L247" s="3"/>
      <c r="M247" s="3"/>
      <c r="N247" s="3"/>
      <c r="O247" s="3"/>
      <c r="P247" s="3"/>
      <c r="Q247" s="3"/>
    </row>
    <row r="248" ht="15.75" customHeight="1">
      <c r="A248" s="10">
        <v>247.0</v>
      </c>
      <c r="B248" s="3" t="s">
        <v>637</v>
      </c>
      <c r="C248" s="3" t="s">
        <v>210</v>
      </c>
      <c r="D248" s="11" t="s">
        <v>755</v>
      </c>
      <c r="E248" s="3">
        <v>5.70156378281E11</v>
      </c>
      <c r="F248" s="3" t="s">
        <v>756</v>
      </c>
      <c r="G248" s="3" t="s">
        <v>12</v>
      </c>
      <c r="H248" s="12" t="s">
        <v>734</v>
      </c>
      <c r="I248" s="3" t="s">
        <v>354</v>
      </c>
      <c r="J248" s="3" t="s">
        <v>355</v>
      </c>
      <c r="K248" s="3"/>
      <c r="L248" s="3"/>
      <c r="M248" s="3"/>
      <c r="N248" s="3"/>
      <c r="O248" s="3"/>
      <c r="P248" s="3"/>
      <c r="Q248" s="3"/>
    </row>
    <row r="249" ht="15.75" customHeight="1">
      <c r="A249" s="10">
        <v>248.0</v>
      </c>
      <c r="B249" s="3" t="s">
        <v>757</v>
      </c>
      <c r="C249" s="3" t="s">
        <v>758</v>
      </c>
      <c r="D249" s="11" t="s">
        <v>759</v>
      </c>
      <c r="E249" s="3">
        <v>5.70156378282E11</v>
      </c>
      <c r="F249" s="3" t="s">
        <v>760</v>
      </c>
      <c r="G249" s="3" t="s">
        <v>12</v>
      </c>
      <c r="H249" s="12" t="s">
        <v>484</v>
      </c>
      <c r="I249" s="3" t="s">
        <v>354</v>
      </c>
      <c r="J249" s="3" t="s">
        <v>355</v>
      </c>
      <c r="K249" s="3"/>
      <c r="L249" s="3"/>
      <c r="M249" s="3"/>
      <c r="N249" s="3"/>
      <c r="O249" s="3"/>
      <c r="P249" s="3"/>
      <c r="Q249" s="3"/>
    </row>
    <row r="250" ht="15.75" customHeight="1">
      <c r="A250" s="10">
        <v>249.0</v>
      </c>
      <c r="B250" s="3" t="s">
        <v>761</v>
      </c>
      <c r="C250" s="3" t="s">
        <v>762</v>
      </c>
      <c r="D250" s="11" t="s">
        <v>763</v>
      </c>
      <c r="E250" s="3">
        <v>5.70156378284E11</v>
      </c>
      <c r="F250" s="3" t="s">
        <v>764</v>
      </c>
      <c r="G250" s="3" t="s">
        <v>12</v>
      </c>
      <c r="H250" s="12" t="s">
        <v>364</v>
      </c>
      <c r="I250" s="3" t="s">
        <v>354</v>
      </c>
      <c r="J250" s="3" t="s">
        <v>355</v>
      </c>
      <c r="K250" s="3"/>
      <c r="L250" s="3"/>
      <c r="M250" s="3"/>
      <c r="N250" s="3"/>
      <c r="O250" s="3"/>
      <c r="P250" s="3"/>
      <c r="Q250" s="3"/>
    </row>
    <row r="251" ht="15.75" customHeight="1">
      <c r="A251" s="10">
        <v>250.0</v>
      </c>
      <c r="B251" s="3" t="s">
        <v>765</v>
      </c>
      <c r="C251" s="3" t="s">
        <v>496</v>
      </c>
      <c r="D251" s="11" t="s">
        <v>306</v>
      </c>
      <c r="E251" s="3">
        <v>5.70156378286E11</v>
      </c>
      <c r="F251" s="3" t="s">
        <v>392</v>
      </c>
      <c r="G251" s="3" t="s">
        <v>12</v>
      </c>
      <c r="H251" s="12" t="s">
        <v>364</v>
      </c>
      <c r="I251" s="3" t="s">
        <v>354</v>
      </c>
      <c r="J251" s="3" t="s">
        <v>355</v>
      </c>
      <c r="K251" s="3"/>
      <c r="L251" s="3"/>
      <c r="M251" s="3"/>
      <c r="N251" s="3"/>
      <c r="O251" s="3"/>
      <c r="P251" s="3"/>
      <c r="Q251" s="3"/>
    </row>
    <row r="252" ht="15.75" customHeight="1">
      <c r="A252" s="10">
        <v>251.0</v>
      </c>
      <c r="B252" s="3" t="s">
        <v>9</v>
      </c>
      <c r="C252" s="3" t="s">
        <v>260</v>
      </c>
      <c r="D252" s="11" t="s">
        <v>766</v>
      </c>
      <c r="E252" s="3">
        <v>5.70156378287E11</v>
      </c>
      <c r="F252" s="3" t="s">
        <v>767</v>
      </c>
      <c r="G252" s="3" t="s">
        <v>12</v>
      </c>
      <c r="H252" s="12" t="s">
        <v>484</v>
      </c>
      <c r="I252" s="3" t="s">
        <v>354</v>
      </c>
      <c r="J252" s="3" t="s">
        <v>355</v>
      </c>
      <c r="K252" s="3"/>
      <c r="L252" s="3"/>
      <c r="M252" s="3"/>
      <c r="N252" s="3"/>
      <c r="O252" s="3"/>
      <c r="P252" s="3"/>
      <c r="Q252" s="3"/>
    </row>
    <row r="253" ht="15.75" customHeight="1">
      <c r="A253" s="10">
        <v>252.0</v>
      </c>
      <c r="B253" s="3" t="s">
        <v>531</v>
      </c>
      <c r="C253" s="3" t="s">
        <v>768</v>
      </c>
      <c r="D253" s="11" t="s">
        <v>346</v>
      </c>
      <c r="E253" s="3">
        <v>5.70156378291E11</v>
      </c>
      <c r="F253" s="3" t="s">
        <v>769</v>
      </c>
      <c r="G253" s="3" t="s">
        <v>12</v>
      </c>
      <c r="H253" s="12" t="s">
        <v>364</v>
      </c>
      <c r="I253" s="3" t="s">
        <v>354</v>
      </c>
      <c r="J253" s="3" t="s">
        <v>355</v>
      </c>
      <c r="K253" s="3"/>
      <c r="L253" s="3"/>
      <c r="M253" s="3"/>
      <c r="N253" s="3"/>
      <c r="O253" s="3"/>
      <c r="P253" s="3"/>
      <c r="Q253" s="3"/>
    </row>
    <row r="254" ht="15.75" customHeight="1">
      <c r="A254" s="10">
        <v>253.0</v>
      </c>
      <c r="B254" s="3" t="s">
        <v>770</v>
      </c>
      <c r="C254" s="3" t="s">
        <v>771</v>
      </c>
      <c r="D254" s="11" t="s">
        <v>772</v>
      </c>
      <c r="E254" s="3">
        <v>5.70156378293E11</v>
      </c>
      <c r="F254" s="3" t="s">
        <v>773</v>
      </c>
      <c r="G254" s="3" t="s">
        <v>12</v>
      </c>
      <c r="H254" s="12" t="s">
        <v>364</v>
      </c>
      <c r="I254" s="3" t="s">
        <v>354</v>
      </c>
      <c r="J254" s="3" t="s">
        <v>355</v>
      </c>
      <c r="K254" s="3"/>
      <c r="L254" s="3"/>
      <c r="M254" s="3"/>
      <c r="N254" s="3"/>
      <c r="O254" s="3"/>
      <c r="P254" s="3"/>
      <c r="Q254" s="3"/>
    </row>
    <row r="255" ht="15.75" customHeight="1">
      <c r="A255" s="10">
        <v>254.0</v>
      </c>
      <c r="B255" s="3" t="s">
        <v>774</v>
      </c>
      <c r="C255" s="3" t="s">
        <v>775</v>
      </c>
      <c r="D255" s="11" t="s">
        <v>248</v>
      </c>
      <c r="E255" s="3">
        <v>5.70156378294E11</v>
      </c>
      <c r="F255" s="3" t="s">
        <v>776</v>
      </c>
      <c r="G255" s="3" t="s">
        <v>12</v>
      </c>
      <c r="H255" s="12" t="s">
        <v>484</v>
      </c>
      <c r="I255" s="3" t="s">
        <v>354</v>
      </c>
      <c r="J255" s="3" t="s">
        <v>355</v>
      </c>
      <c r="K255" s="3"/>
      <c r="L255" s="3"/>
      <c r="M255" s="3"/>
      <c r="N255" s="3"/>
      <c r="O255" s="3"/>
      <c r="P255" s="3"/>
      <c r="Q255" s="3"/>
    </row>
    <row r="256" ht="15.75" customHeight="1">
      <c r="A256" s="10">
        <v>255.0</v>
      </c>
      <c r="B256" s="3" t="s">
        <v>777</v>
      </c>
      <c r="C256" s="3" t="s">
        <v>778</v>
      </c>
      <c r="D256" s="11" t="s">
        <v>779</v>
      </c>
      <c r="E256" s="3">
        <v>5.70156378298E11</v>
      </c>
      <c r="F256" s="3" t="s">
        <v>780</v>
      </c>
      <c r="G256" s="3" t="s">
        <v>12</v>
      </c>
      <c r="H256" s="12" t="s">
        <v>353</v>
      </c>
      <c r="I256" s="3" t="s">
        <v>354</v>
      </c>
      <c r="J256" s="3" t="s">
        <v>355</v>
      </c>
      <c r="K256" s="3"/>
      <c r="L256" s="3"/>
      <c r="M256" s="3"/>
      <c r="N256" s="3"/>
      <c r="O256" s="3"/>
      <c r="P256" s="3"/>
      <c r="Q256" s="3"/>
    </row>
    <row r="257" ht="15.75" customHeight="1">
      <c r="A257" s="10">
        <v>256.0</v>
      </c>
      <c r="B257" s="9" t="s">
        <v>590</v>
      </c>
      <c r="C257" s="3" t="s">
        <v>781</v>
      </c>
      <c r="D257" s="11" t="s">
        <v>332</v>
      </c>
      <c r="E257" s="9">
        <v>5.70156378303E11</v>
      </c>
      <c r="F257" s="3" t="s">
        <v>782</v>
      </c>
      <c r="G257" s="3" t="s">
        <v>62</v>
      </c>
      <c r="H257" s="12" t="s">
        <v>364</v>
      </c>
      <c r="I257" s="3" t="s">
        <v>354</v>
      </c>
      <c r="J257" s="3" t="s">
        <v>355</v>
      </c>
      <c r="K257" s="3"/>
      <c r="L257" s="3"/>
      <c r="M257" s="3"/>
      <c r="N257" s="3"/>
      <c r="O257" s="3"/>
      <c r="P257" s="3"/>
      <c r="Q257" s="3"/>
    </row>
    <row r="258" ht="15.75" customHeight="1">
      <c r="A258" s="10">
        <v>257.0</v>
      </c>
      <c r="B258" s="3" t="s">
        <v>783</v>
      </c>
      <c r="C258" s="3" t="s">
        <v>781</v>
      </c>
      <c r="D258" s="11" t="s">
        <v>784</v>
      </c>
      <c r="E258" s="3">
        <v>5.70156378305E11</v>
      </c>
      <c r="F258" s="3" t="s">
        <v>785</v>
      </c>
      <c r="G258" s="3" t="s">
        <v>62</v>
      </c>
      <c r="H258" s="12" t="s">
        <v>364</v>
      </c>
      <c r="I258" s="3" t="s">
        <v>354</v>
      </c>
      <c r="J258" s="3" t="s">
        <v>355</v>
      </c>
      <c r="K258" s="3"/>
      <c r="L258" s="3"/>
      <c r="M258" s="3"/>
      <c r="N258" s="3"/>
      <c r="O258" s="3"/>
      <c r="P258" s="3"/>
      <c r="Q258" s="3"/>
    </row>
    <row r="259" ht="15.75" customHeight="1">
      <c r="A259" s="10">
        <v>258.0</v>
      </c>
      <c r="B259" s="3" t="s">
        <v>786</v>
      </c>
      <c r="C259" s="3" t="s">
        <v>787</v>
      </c>
      <c r="D259" s="11" t="s">
        <v>788</v>
      </c>
      <c r="E259" s="3">
        <v>5.70156378307E11</v>
      </c>
      <c r="F259" s="3" t="s">
        <v>789</v>
      </c>
      <c r="G259" s="3" t="s">
        <v>62</v>
      </c>
      <c r="H259" s="12" t="s">
        <v>364</v>
      </c>
      <c r="I259" s="3" t="s">
        <v>354</v>
      </c>
      <c r="J259" s="3" t="s">
        <v>355</v>
      </c>
      <c r="K259" s="3"/>
      <c r="L259" s="3"/>
      <c r="M259" s="3"/>
      <c r="N259" s="3"/>
      <c r="O259" s="3"/>
      <c r="P259" s="3"/>
      <c r="Q259" s="3"/>
    </row>
    <row r="260" ht="15.75" customHeight="1">
      <c r="A260" s="10">
        <v>259.0</v>
      </c>
      <c r="B260" s="3" t="s">
        <v>790</v>
      </c>
      <c r="C260" s="3" t="s">
        <v>791</v>
      </c>
      <c r="D260" s="11" t="s">
        <v>792</v>
      </c>
      <c r="E260" s="3">
        <v>5.7015637831E11</v>
      </c>
      <c r="F260" s="3" t="s">
        <v>793</v>
      </c>
      <c r="G260" s="3" t="s">
        <v>62</v>
      </c>
      <c r="H260" s="12" t="s">
        <v>364</v>
      </c>
      <c r="I260" s="3" t="s">
        <v>354</v>
      </c>
      <c r="J260" s="3" t="s">
        <v>355</v>
      </c>
      <c r="K260" s="3"/>
      <c r="L260" s="3"/>
      <c r="M260" s="3"/>
      <c r="N260" s="3"/>
      <c r="O260" s="3"/>
      <c r="P260" s="3"/>
      <c r="Q260" s="3"/>
    </row>
    <row r="261" ht="15.75" customHeight="1">
      <c r="A261" s="10">
        <v>260.0</v>
      </c>
      <c r="B261" s="3" t="s">
        <v>794</v>
      </c>
      <c r="C261" s="3" t="s">
        <v>279</v>
      </c>
      <c r="D261" s="11" t="s">
        <v>795</v>
      </c>
      <c r="E261" s="3">
        <v>5.70156378312E11</v>
      </c>
      <c r="F261" s="3" t="s">
        <v>796</v>
      </c>
      <c r="G261" s="3" t="s">
        <v>62</v>
      </c>
      <c r="H261" s="12" t="s">
        <v>364</v>
      </c>
      <c r="I261" s="3" t="s">
        <v>354</v>
      </c>
      <c r="J261" s="3" t="s">
        <v>355</v>
      </c>
      <c r="K261" s="3"/>
      <c r="L261" s="3"/>
      <c r="M261" s="3"/>
      <c r="N261" s="3"/>
      <c r="O261" s="3"/>
      <c r="P261" s="3"/>
      <c r="Q261" s="3"/>
    </row>
    <row r="262" ht="15.75" customHeight="1">
      <c r="A262" s="10">
        <v>261.0</v>
      </c>
      <c r="B262" s="3" t="s">
        <v>797</v>
      </c>
      <c r="C262" s="3" t="s">
        <v>798</v>
      </c>
      <c r="D262" s="11" t="s">
        <v>799</v>
      </c>
      <c r="E262" s="9">
        <v>5.70156378314E11</v>
      </c>
      <c r="F262" s="3" t="s">
        <v>800</v>
      </c>
      <c r="G262" s="3" t="s">
        <v>62</v>
      </c>
      <c r="H262" s="12" t="s">
        <v>364</v>
      </c>
      <c r="I262" s="3" t="s">
        <v>354</v>
      </c>
      <c r="J262" s="3" t="s">
        <v>355</v>
      </c>
      <c r="K262" s="3"/>
      <c r="L262" s="3"/>
      <c r="M262" s="3"/>
      <c r="N262" s="3"/>
      <c r="O262" s="3"/>
      <c r="P262" s="3"/>
      <c r="Q262" s="3"/>
    </row>
    <row r="263" ht="15.75" customHeight="1">
      <c r="A263" s="10">
        <v>262.0</v>
      </c>
      <c r="B263" s="3" t="s">
        <v>801</v>
      </c>
      <c r="C263" s="3" t="s">
        <v>802</v>
      </c>
      <c r="D263" s="11" t="s">
        <v>445</v>
      </c>
      <c r="E263" s="3">
        <v>5.70156378317E11</v>
      </c>
      <c r="F263" s="3" t="s">
        <v>803</v>
      </c>
      <c r="G263" s="3" t="s">
        <v>12</v>
      </c>
      <c r="H263" s="12" t="s">
        <v>364</v>
      </c>
      <c r="I263" s="3" t="s">
        <v>354</v>
      </c>
      <c r="J263" s="3" t="s">
        <v>355</v>
      </c>
      <c r="K263" s="3"/>
      <c r="L263" s="3"/>
      <c r="M263" s="3"/>
      <c r="N263" s="3"/>
      <c r="O263" s="3"/>
      <c r="P263" s="3"/>
      <c r="Q263" s="3"/>
    </row>
    <row r="264" ht="15.75" customHeight="1">
      <c r="A264" s="10">
        <v>263.0</v>
      </c>
      <c r="B264" s="3" t="s">
        <v>804</v>
      </c>
      <c r="C264" s="3" t="s">
        <v>805</v>
      </c>
      <c r="D264" s="11" t="s">
        <v>806</v>
      </c>
      <c r="E264" s="3">
        <v>5.70156378319E11</v>
      </c>
      <c r="F264" s="3" t="s">
        <v>807</v>
      </c>
      <c r="G264" s="3" t="s">
        <v>378</v>
      </c>
      <c r="H264" s="12" t="s">
        <v>364</v>
      </c>
      <c r="I264" s="3" t="s">
        <v>354</v>
      </c>
      <c r="J264" s="3" t="s">
        <v>355</v>
      </c>
      <c r="K264" s="3"/>
      <c r="L264" s="3"/>
      <c r="M264" s="3"/>
      <c r="N264" s="3"/>
      <c r="O264" s="3"/>
      <c r="P264" s="3"/>
      <c r="Q264" s="3"/>
    </row>
    <row r="265" ht="15.75" customHeight="1">
      <c r="A265" s="10">
        <v>264.0</v>
      </c>
      <c r="B265" s="3" t="s">
        <v>250</v>
      </c>
      <c r="C265" s="3" t="s">
        <v>808</v>
      </c>
      <c r="D265" s="11" t="s">
        <v>809</v>
      </c>
      <c r="E265" s="3">
        <v>5.70156378321E11</v>
      </c>
      <c r="F265" s="3" t="s">
        <v>810</v>
      </c>
      <c r="G265" s="3" t="s">
        <v>12</v>
      </c>
      <c r="H265" s="12" t="s">
        <v>364</v>
      </c>
      <c r="I265" s="3" t="s">
        <v>354</v>
      </c>
      <c r="J265" s="3" t="s">
        <v>355</v>
      </c>
      <c r="K265" s="3"/>
      <c r="L265" s="3"/>
      <c r="M265" s="3"/>
      <c r="N265" s="3"/>
      <c r="O265" s="3"/>
      <c r="P265" s="3"/>
      <c r="Q265" s="3"/>
    </row>
    <row r="266" ht="15.75" customHeight="1">
      <c r="A266" s="10">
        <v>265.0</v>
      </c>
      <c r="B266" s="3" t="s">
        <v>811</v>
      </c>
      <c r="C266" s="3" t="s">
        <v>812</v>
      </c>
      <c r="D266" s="11" t="s">
        <v>466</v>
      </c>
      <c r="E266" s="3">
        <v>5.70156378323E11</v>
      </c>
      <c r="F266" s="3" t="s">
        <v>813</v>
      </c>
      <c r="G266" s="3" t="s">
        <v>62</v>
      </c>
      <c r="H266" s="12" t="s">
        <v>364</v>
      </c>
      <c r="I266" s="3" t="s">
        <v>354</v>
      </c>
      <c r="J266" s="3" t="s">
        <v>355</v>
      </c>
      <c r="K266" s="3"/>
      <c r="L266" s="3"/>
      <c r="M266" s="3"/>
      <c r="N266" s="3"/>
      <c r="O266" s="3"/>
      <c r="P266" s="3"/>
      <c r="Q266" s="3"/>
    </row>
    <row r="267" ht="15.75" customHeight="1">
      <c r="A267" s="10">
        <v>266.0</v>
      </c>
      <c r="B267" s="3" t="s">
        <v>814</v>
      </c>
      <c r="C267" s="3" t="s">
        <v>815</v>
      </c>
      <c r="D267" s="11" t="s">
        <v>816</v>
      </c>
      <c r="E267" s="3">
        <v>5.70156378324E11</v>
      </c>
      <c r="F267" s="3" t="s">
        <v>817</v>
      </c>
      <c r="G267" s="3" t="s">
        <v>12</v>
      </c>
      <c r="H267" s="12" t="s">
        <v>364</v>
      </c>
      <c r="I267" s="3" t="s">
        <v>354</v>
      </c>
      <c r="J267" s="3" t="s">
        <v>355</v>
      </c>
      <c r="K267" s="3"/>
      <c r="L267" s="3"/>
      <c r="M267" s="3"/>
      <c r="N267" s="3"/>
      <c r="O267" s="3"/>
      <c r="P267" s="3"/>
      <c r="Q267" s="3"/>
    </row>
    <row r="268" ht="15.75" customHeight="1">
      <c r="A268" s="10">
        <v>267.0</v>
      </c>
      <c r="B268" s="3" t="s">
        <v>818</v>
      </c>
      <c r="C268" s="3" t="s">
        <v>819</v>
      </c>
      <c r="D268" s="11" t="s">
        <v>820</v>
      </c>
      <c r="E268" s="3">
        <v>5.70156378326E11</v>
      </c>
      <c r="F268" s="3" t="s">
        <v>821</v>
      </c>
      <c r="G268" s="3" t="s">
        <v>12</v>
      </c>
      <c r="H268" s="12" t="s">
        <v>364</v>
      </c>
      <c r="I268" s="3" t="s">
        <v>354</v>
      </c>
      <c r="J268" s="3" t="s">
        <v>355</v>
      </c>
      <c r="K268" s="3"/>
      <c r="L268" s="3"/>
      <c r="M268" s="3"/>
      <c r="N268" s="3"/>
      <c r="O268" s="3"/>
      <c r="P268" s="3"/>
      <c r="Q268" s="3"/>
    </row>
    <row r="269" ht="15.75" customHeight="1">
      <c r="A269" s="10">
        <v>268.0</v>
      </c>
      <c r="B269" s="3" t="s">
        <v>822</v>
      </c>
      <c r="C269" s="3" t="s">
        <v>818</v>
      </c>
      <c r="D269" s="11" t="s">
        <v>823</v>
      </c>
      <c r="E269" s="10">
        <v>5.70056378328E11</v>
      </c>
      <c r="F269" s="3" t="s">
        <v>824</v>
      </c>
      <c r="G269" s="3" t="s">
        <v>12</v>
      </c>
      <c r="H269" s="3" t="s">
        <v>70</v>
      </c>
      <c r="I269" s="3" t="s">
        <v>71</v>
      </c>
      <c r="J269" s="12" t="s">
        <v>89</v>
      </c>
      <c r="K269" s="3"/>
      <c r="L269" s="3"/>
      <c r="M269" s="3"/>
      <c r="N269" s="3"/>
      <c r="O269" s="3"/>
      <c r="P269" s="3"/>
      <c r="Q269" s="3"/>
    </row>
    <row r="270" ht="15.75" customHeight="1">
      <c r="A270" s="10">
        <v>269.0</v>
      </c>
      <c r="B270" s="3" t="s">
        <v>825</v>
      </c>
      <c r="C270" s="3" t="s">
        <v>826</v>
      </c>
      <c r="D270" s="11" t="s">
        <v>827</v>
      </c>
      <c r="E270" s="10">
        <v>5.70056378329E11</v>
      </c>
      <c r="F270" s="3" t="s">
        <v>828</v>
      </c>
      <c r="G270" s="3" t="s">
        <v>12</v>
      </c>
      <c r="H270" s="3" t="s">
        <v>70</v>
      </c>
      <c r="I270" s="3" t="s">
        <v>71</v>
      </c>
      <c r="J270" s="12" t="s">
        <v>89</v>
      </c>
      <c r="K270" s="3"/>
      <c r="L270" s="3"/>
      <c r="M270" s="3"/>
      <c r="N270" s="3"/>
      <c r="O270" s="3"/>
      <c r="P270" s="3"/>
      <c r="Q270" s="3"/>
    </row>
    <row r="271" ht="15.75" customHeight="1">
      <c r="A271" s="10">
        <v>270.0</v>
      </c>
      <c r="B271" s="3" t="s">
        <v>829</v>
      </c>
      <c r="C271" s="3" t="s">
        <v>830</v>
      </c>
      <c r="D271" s="11" t="s">
        <v>831</v>
      </c>
      <c r="E271" s="10">
        <v>5.70056378331E11</v>
      </c>
      <c r="F271" s="3" t="s">
        <v>832</v>
      </c>
      <c r="G271" s="3" t="s">
        <v>12</v>
      </c>
      <c r="H271" s="3" t="s">
        <v>70</v>
      </c>
      <c r="I271" s="3" t="s">
        <v>71</v>
      </c>
      <c r="J271" s="12" t="s">
        <v>89</v>
      </c>
      <c r="K271" s="3"/>
      <c r="L271" s="3"/>
      <c r="M271" s="3"/>
      <c r="N271" s="3"/>
      <c r="O271" s="3"/>
      <c r="P271" s="3"/>
      <c r="Q271" s="3"/>
    </row>
    <row r="272" ht="15.75" customHeight="1">
      <c r="A272" s="10">
        <v>271.0</v>
      </c>
      <c r="B272" s="3" t="s">
        <v>214</v>
      </c>
      <c r="C272" s="3" t="s">
        <v>833</v>
      </c>
      <c r="D272" s="11" t="s">
        <v>834</v>
      </c>
      <c r="E272" s="10">
        <v>5.70056378336E11</v>
      </c>
      <c r="F272" s="3" t="s">
        <v>835</v>
      </c>
      <c r="G272" s="3" t="s">
        <v>12</v>
      </c>
      <c r="H272" s="3" t="s">
        <v>70</v>
      </c>
      <c r="I272" s="3" t="s">
        <v>71</v>
      </c>
      <c r="J272" s="12" t="s">
        <v>89</v>
      </c>
      <c r="K272" s="3"/>
      <c r="L272" s="3"/>
      <c r="M272" s="3"/>
      <c r="N272" s="3"/>
      <c r="O272" s="3"/>
      <c r="P272" s="3"/>
      <c r="Q272" s="3"/>
    </row>
    <row r="273" ht="15.75" customHeight="1">
      <c r="A273" s="10">
        <v>272.0</v>
      </c>
      <c r="B273" s="3" t="s">
        <v>836</v>
      </c>
      <c r="C273" s="3" t="s">
        <v>837</v>
      </c>
      <c r="D273" s="11" t="s">
        <v>838</v>
      </c>
      <c r="E273" s="10">
        <v>5.70056378339E11</v>
      </c>
      <c r="F273" s="3" t="s">
        <v>839</v>
      </c>
      <c r="G273" s="3" t="s">
        <v>50</v>
      </c>
      <c r="H273" s="3" t="s">
        <v>70</v>
      </c>
      <c r="I273" s="3" t="s">
        <v>71</v>
      </c>
      <c r="J273" s="12" t="s">
        <v>89</v>
      </c>
      <c r="K273" s="3"/>
      <c r="L273" s="3"/>
      <c r="M273" s="3"/>
      <c r="N273" s="3"/>
      <c r="O273" s="3"/>
      <c r="P273" s="3"/>
      <c r="Q273" s="3"/>
    </row>
    <row r="274" ht="15.75" customHeight="1">
      <c r="A274" s="10">
        <v>273.0</v>
      </c>
      <c r="B274" s="3" t="s">
        <v>840</v>
      </c>
      <c r="C274" s="3" t="s">
        <v>841</v>
      </c>
      <c r="D274" s="11" t="s">
        <v>842</v>
      </c>
      <c r="E274" s="10">
        <v>5.7005637834E11</v>
      </c>
      <c r="F274" s="3" t="s">
        <v>843</v>
      </c>
      <c r="G274" s="3" t="s">
        <v>197</v>
      </c>
      <c r="H274" s="3" t="s">
        <v>70</v>
      </c>
      <c r="I274" s="3" t="s">
        <v>71</v>
      </c>
      <c r="J274" s="12" t="s">
        <v>89</v>
      </c>
      <c r="K274" s="3"/>
      <c r="L274" s="3"/>
      <c r="M274" s="3"/>
      <c r="N274" s="3"/>
      <c r="O274" s="3"/>
      <c r="P274" s="3"/>
      <c r="Q274" s="3"/>
    </row>
    <row r="275" ht="15.75" customHeight="1">
      <c r="A275" s="10">
        <v>274.0</v>
      </c>
      <c r="B275" s="3" t="s">
        <v>844</v>
      </c>
      <c r="C275" s="3" t="s">
        <v>845</v>
      </c>
      <c r="D275" s="11" t="s">
        <v>846</v>
      </c>
      <c r="E275" s="10">
        <v>5.7005637835E11</v>
      </c>
      <c r="F275" s="3" t="s">
        <v>847</v>
      </c>
      <c r="G275" s="3" t="s">
        <v>12</v>
      </c>
      <c r="H275" s="3" t="s">
        <v>70</v>
      </c>
      <c r="I275" s="3" t="s">
        <v>71</v>
      </c>
      <c r="J275" s="12" t="s">
        <v>89</v>
      </c>
      <c r="K275" s="3"/>
      <c r="L275" s="3"/>
      <c r="M275" s="3"/>
      <c r="N275" s="3"/>
      <c r="O275" s="3"/>
      <c r="P275" s="3"/>
      <c r="Q275" s="3"/>
    </row>
    <row r="276" ht="15.75" customHeight="1">
      <c r="A276" s="10">
        <v>275.0</v>
      </c>
      <c r="B276" s="3" t="s">
        <v>848</v>
      </c>
      <c r="C276" s="3" t="s">
        <v>849</v>
      </c>
      <c r="D276" s="11" t="s">
        <v>850</v>
      </c>
      <c r="E276" s="10">
        <v>5.70056378356E11</v>
      </c>
      <c r="F276" s="3" t="s">
        <v>851</v>
      </c>
      <c r="G276" s="3" t="s">
        <v>12</v>
      </c>
      <c r="H276" s="3" t="s">
        <v>70</v>
      </c>
      <c r="I276" s="3" t="s">
        <v>71</v>
      </c>
      <c r="J276" s="12" t="s">
        <v>89</v>
      </c>
      <c r="K276" s="3"/>
      <c r="L276" s="3"/>
      <c r="M276" s="3"/>
      <c r="N276" s="3"/>
      <c r="O276" s="3"/>
      <c r="P276" s="3"/>
      <c r="Q276" s="3"/>
    </row>
    <row r="277" ht="15.75" customHeight="1">
      <c r="A277" s="10">
        <v>276.0</v>
      </c>
      <c r="B277" s="3" t="s">
        <v>852</v>
      </c>
      <c r="C277" s="3" t="s">
        <v>853</v>
      </c>
      <c r="D277" s="11" t="s">
        <v>850</v>
      </c>
      <c r="E277" s="10">
        <v>5.70056378365E11</v>
      </c>
      <c r="F277" s="3" t="s">
        <v>854</v>
      </c>
      <c r="G277" s="3" t="s">
        <v>12</v>
      </c>
      <c r="H277" s="3" t="s">
        <v>70</v>
      </c>
      <c r="I277" s="3" t="s">
        <v>71</v>
      </c>
      <c r="J277" s="12" t="s">
        <v>89</v>
      </c>
      <c r="K277" s="3"/>
      <c r="L277" s="3"/>
      <c r="M277" s="3"/>
      <c r="N277" s="3"/>
      <c r="O277" s="3"/>
      <c r="P277" s="3"/>
      <c r="Q277" s="3"/>
    </row>
    <row r="278" ht="15.75" customHeight="1">
      <c r="A278" s="10">
        <v>277.0</v>
      </c>
      <c r="B278" s="3" t="s">
        <v>855</v>
      </c>
      <c r="C278" s="3" t="s">
        <v>856</v>
      </c>
      <c r="D278" s="11" t="s">
        <v>152</v>
      </c>
      <c r="E278" s="10">
        <v>5.70056378378E11</v>
      </c>
      <c r="F278" s="3" t="s">
        <v>857</v>
      </c>
      <c r="G278" s="3" t="s">
        <v>12</v>
      </c>
      <c r="H278" s="3" t="s">
        <v>70</v>
      </c>
      <c r="I278" s="3" t="s">
        <v>71</v>
      </c>
      <c r="J278" s="12" t="s">
        <v>89</v>
      </c>
      <c r="K278" s="3"/>
      <c r="L278" s="3"/>
      <c r="M278" s="3"/>
      <c r="N278" s="3"/>
      <c r="O278" s="3"/>
      <c r="P278" s="3"/>
      <c r="Q278" s="3"/>
    </row>
    <row r="279" ht="15.75" customHeight="1">
      <c r="A279" s="10">
        <v>278.0</v>
      </c>
      <c r="B279" s="3" t="s">
        <v>814</v>
      </c>
      <c r="C279" s="3" t="s">
        <v>858</v>
      </c>
      <c r="D279" s="11" t="s">
        <v>859</v>
      </c>
      <c r="E279" s="10">
        <v>5.70056378392E11</v>
      </c>
      <c r="F279" s="3" t="s">
        <v>860</v>
      </c>
      <c r="G279" s="3" t="s">
        <v>12</v>
      </c>
      <c r="H279" s="3" t="s">
        <v>70</v>
      </c>
      <c r="I279" s="3" t="s">
        <v>71</v>
      </c>
      <c r="J279" s="12" t="s">
        <v>89</v>
      </c>
      <c r="K279" s="3"/>
      <c r="L279" s="3"/>
      <c r="M279" s="3"/>
      <c r="N279" s="3"/>
      <c r="O279" s="3"/>
      <c r="P279" s="3"/>
      <c r="Q279" s="3"/>
    </row>
    <row r="280" ht="15.75" customHeight="1">
      <c r="A280" s="10">
        <v>279.0</v>
      </c>
      <c r="B280" s="3" t="s">
        <v>861</v>
      </c>
      <c r="C280" s="3" t="s">
        <v>862</v>
      </c>
      <c r="D280" s="11" t="s">
        <v>863</v>
      </c>
      <c r="E280" s="10">
        <v>5.70056378394E11</v>
      </c>
      <c r="F280" s="3" t="s">
        <v>864</v>
      </c>
      <c r="G280" s="3" t="s">
        <v>12</v>
      </c>
      <c r="H280" s="3" t="s">
        <v>70</v>
      </c>
      <c r="I280" s="3" t="s">
        <v>71</v>
      </c>
      <c r="J280" s="12" t="s">
        <v>89</v>
      </c>
      <c r="K280" s="3"/>
      <c r="L280" s="3"/>
      <c r="M280" s="3"/>
      <c r="N280" s="3"/>
      <c r="O280" s="3"/>
      <c r="P280" s="3"/>
      <c r="Q280" s="3"/>
    </row>
    <row r="281" ht="15.75" customHeight="1">
      <c r="A281" s="10">
        <v>280.0</v>
      </c>
      <c r="B281" s="3" t="s">
        <v>865</v>
      </c>
      <c r="C281" s="3" t="s">
        <v>866</v>
      </c>
      <c r="D281" s="11" t="s">
        <v>867</v>
      </c>
      <c r="E281" s="10">
        <v>5.70056378401E11</v>
      </c>
      <c r="F281" s="3" t="s">
        <v>868</v>
      </c>
      <c r="G281" s="3" t="s">
        <v>12</v>
      </c>
      <c r="H281" s="3" t="s">
        <v>70</v>
      </c>
      <c r="I281" s="3" t="s">
        <v>71</v>
      </c>
      <c r="J281" s="12" t="s">
        <v>89</v>
      </c>
      <c r="K281" s="3"/>
      <c r="L281" s="3"/>
      <c r="M281" s="3"/>
      <c r="N281" s="3"/>
      <c r="O281" s="3"/>
      <c r="P281" s="3"/>
      <c r="Q281" s="3"/>
    </row>
    <row r="282" ht="15.75" customHeight="1">
      <c r="A282" s="10">
        <v>281.0</v>
      </c>
      <c r="B282" s="3" t="s">
        <v>869</v>
      </c>
      <c r="C282" s="3" t="s">
        <v>870</v>
      </c>
      <c r="D282" s="11" t="s">
        <v>470</v>
      </c>
      <c r="E282" s="10">
        <v>5.70056378402E11</v>
      </c>
      <c r="F282" s="3" t="s">
        <v>871</v>
      </c>
      <c r="G282" s="3" t="s">
        <v>12</v>
      </c>
      <c r="H282" s="3" t="s">
        <v>70</v>
      </c>
      <c r="I282" s="3" t="s">
        <v>71</v>
      </c>
      <c r="J282" s="12" t="s">
        <v>89</v>
      </c>
      <c r="K282" s="3"/>
      <c r="L282" s="3"/>
      <c r="M282" s="3"/>
      <c r="N282" s="3"/>
      <c r="O282" s="3"/>
      <c r="P282" s="3"/>
      <c r="Q282" s="3"/>
    </row>
    <row r="283" ht="15.75" customHeight="1">
      <c r="A283" s="10">
        <v>282.0</v>
      </c>
      <c r="B283" s="3" t="s">
        <v>872</v>
      </c>
      <c r="C283" s="3" t="s">
        <v>873</v>
      </c>
      <c r="D283" s="11" t="s">
        <v>874</v>
      </c>
      <c r="E283" s="10">
        <v>5.70056378403E11</v>
      </c>
      <c r="F283" s="3" t="s">
        <v>875</v>
      </c>
      <c r="G283" s="3" t="s">
        <v>12</v>
      </c>
      <c r="H283" s="3" t="s">
        <v>70</v>
      </c>
      <c r="I283" s="3" t="s">
        <v>71</v>
      </c>
      <c r="J283" s="12" t="s">
        <v>89</v>
      </c>
      <c r="K283" s="3"/>
      <c r="L283" s="3"/>
      <c r="M283" s="3"/>
      <c r="N283" s="3"/>
      <c r="O283" s="3"/>
      <c r="P283" s="3"/>
      <c r="Q283" s="3"/>
    </row>
    <row r="284" ht="15.75" customHeight="1">
      <c r="A284" s="10">
        <v>283.0</v>
      </c>
      <c r="B284" s="3" t="s">
        <v>876</v>
      </c>
      <c r="C284" s="3" t="s">
        <v>877</v>
      </c>
      <c r="D284" s="11" t="s">
        <v>878</v>
      </c>
      <c r="E284" s="10">
        <v>5.70056378406E11</v>
      </c>
      <c r="F284" s="3" t="s">
        <v>854</v>
      </c>
      <c r="G284" s="3" t="s">
        <v>197</v>
      </c>
      <c r="H284" s="3" t="s">
        <v>70</v>
      </c>
      <c r="I284" s="3" t="s">
        <v>71</v>
      </c>
      <c r="J284" s="12" t="s">
        <v>89</v>
      </c>
      <c r="K284" s="3"/>
      <c r="L284" s="3"/>
      <c r="M284" s="3"/>
      <c r="N284" s="3"/>
      <c r="O284" s="3"/>
      <c r="P284" s="3"/>
      <c r="Q284" s="3"/>
    </row>
    <row r="285" ht="15.75" customHeight="1">
      <c r="A285" s="10">
        <v>284.0</v>
      </c>
      <c r="B285" s="3" t="s">
        <v>879</v>
      </c>
      <c r="C285" s="3" t="s">
        <v>870</v>
      </c>
      <c r="D285" s="11" t="s">
        <v>470</v>
      </c>
      <c r="E285" s="10">
        <v>5.70056378408E11</v>
      </c>
      <c r="F285" s="3" t="s">
        <v>880</v>
      </c>
      <c r="G285" s="3" t="s">
        <v>12</v>
      </c>
      <c r="H285" s="3" t="s">
        <v>70</v>
      </c>
      <c r="I285" s="3" t="s">
        <v>71</v>
      </c>
      <c r="J285" s="12" t="s">
        <v>89</v>
      </c>
      <c r="K285" s="3"/>
      <c r="L285" s="3"/>
      <c r="M285" s="3"/>
      <c r="N285" s="3"/>
      <c r="O285" s="3"/>
      <c r="P285" s="3"/>
      <c r="Q285" s="3"/>
    </row>
    <row r="286" ht="15.75" customHeight="1">
      <c r="A286" s="10">
        <v>285.0</v>
      </c>
      <c r="B286" s="3" t="s">
        <v>881</v>
      </c>
      <c r="C286" s="3" t="s">
        <v>870</v>
      </c>
      <c r="D286" s="11" t="s">
        <v>834</v>
      </c>
      <c r="E286" s="10">
        <v>5.70056378409E11</v>
      </c>
      <c r="F286" s="3" t="s">
        <v>882</v>
      </c>
      <c r="G286" s="3" t="s">
        <v>12</v>
      </c>
      <c r="H286" s="3" t="s">
        <v>70</v>
      </c>
      <c r="I286" s="3" t="s">
        <v>71</v>
      </c>
      <c r="J286" s="12" t="s">
        <v>89</v>
      </c>
      <c r="K286" s="3"/>
      <c r="L286" s="3"/>
      <c r="M286" s="3"/>
      <c r="N286" s="3"/>
      <c r="O286" s="3"/>
      <c r="P286" s="3"/>
      <c r="Q286" s="3"/>
    </row>
    <row r="287" ht="15.75" customHeight="1">
      <c r="A287" s="10">
        <v>286.0</v>
      </c>
      <c r="B287" s="3" t="s">
        <v>883</v>
      </c>
      <c r="C287" s="3" t="s">
        <v>853</v>
      </c>
      <c r="D287" s="11" t="s">
        <v>850</v>
      </c>
      <c r="E287" s="10">
        <v>5.7005637841E11</v>
      </c>
      <c r="F287" s="3" t="s">
        <v>884</v>
      </c>
      <c r="G287" s="3" t="s">
        <v>12</v>
      </c>
      <c r="H287" s="3" t="s">
        <v>70</v>
      </c>
      <c r="I287" s="3" t="s">
        <v>71</v>
      </c>
      <c r="J287" s="12" t="s">
        <v>89</v>
      </c>
      <c r="K287" s="3"/>
      <c r="L287" s="3"/>
      <c r="M287" s="3"/>
      <c r="N287" s="3"/>
      <c r="O287" s="3"/>
      <c r="P287" s="3"/>
      <c r="Q287" s="3"/>
    </row>
    <row r="288" ht="15.75" customHeight="1">
      <c r="A288" s="10">
        <v>287.0</v>
      </c>
      <c r="B288" s="3" t="s">
        <v>885</v>
      </c>
      <c r="C288" s="3" t="s">
        <v>870</v>
      </c>
      <c r="D288" s="11" t="s">
        <v>834</v>
      </c>
      <c r="E288" s="10">
        <v>5.70056378411E11</v>
      </c>
      <c r="F288" s="3" t="s">
        <v>886</v>
      </c>
      <c r="G288" s="3" t="s">
        <v>197</v>
      </c>
      <c r="H288" s="3" t="s">
        <v>70</v>
      </c>
      <c r="I288" s="3" t="s">
        <v>71</v>
      </c>
      <c r="J288" s="12" t="s">
        <v>89</v>
      </c>
      <c r="K288" s="3"/>
      <c r="L288" s="3"/>
      <c r="M288" s="3"/>
      <c r="N288" s="3"/>
      <c r="O288" s="3"/>
      <c r="P288" s="3"/>
      <c r="Q288" s="3"/>
    </row>
    <row r="289" ht="15.75" customHeight="1">
      <c r="A289" s="10">
        <v>288.0</v>
      </c>
      <c r="B289" s="3" t="s">
        <v>887</v>
      </c>
      <c r="C289" s="3" t="s">
        <v>853</v>
      </c>
      <c r="D289" s="11" t="s">
        <v>248</v>
      </c>
      <c r="E289" s="10">
        <v>5.70056378413E11</v>
      </c>
      <c r="F289" s="3" t="s">
        <v>218</v>
      </c>
      <c r="G289" s="3" t="s">
        <v>197</v>
      </c>
      <c r="H289" s="3" t="s">
        <v>70</v>
      </c>
      <c r="I289" s="3" t="s">
        <v>71</v>
      </c>
      <c r="J289" s="12" t="s">
        <v>89</v>
      </c>
      <c r="K289" s="3"/>
      <c r="L289" s="3"/>
      <c r="M289" s="3"/>
      <c r="N289" s="3"/>
      <c r="O289" s="3"/>
      <c r="P289" s="3"/>
      <c r="Q289" s="3"/>
    </row>
    <row r="290" ht="15.75" customHeight="1">
      <c r="A290" s="10">
        <v>289.0</v>
      </c>
      <c r="B290" s="3" t="s">
        <v>888</v>
      </c>
      <c r="C290" s="3" t="s">
        <v>889</v>
      </c>
      <c r="D290" s="11" t="s">
        <v>890</v>
      </c>
      <c r="E290" s="10">
        <v>5.70056378415E11</v>
      </c>
      <c r="F290" s="3" t="s">
        <v>891</v>
      </c>
      <c r="G290" s="3" t="s">
        <v>12</v>
      </c>
      <c r="H290" s="3" t="s">
        <v>70</v>
      </c>
      <c r="I290" s="3" t="s">
        <v>71</v>
      </c>
      <c r="J290" s="12" t="s">
        <v>89</v>
      </c>
      <c r="K290" s="3"/>
      <c r="L290" s="3"/>
      <c r="M290" s="3"/>
      <c r="N290" s="3"/>
      <c r="O290" s="3"/>
      <c r="P290" s="3"/>
      <c r="Q290" s="3"/>
    </row>
    <row r="291" ht="15.75" customHeight="1">
      <c r="A291" s="10">
        <v>290.0</v>
      </c>
      <c r="B291" s="3" t="s">
        <v>892</v>
      </c>
      <c r="C291" s="3" t="s">
        <v>893</v>
      </c>
      <c r="D291" s="11" t="s">
        <v>894</v>
      </c>
      <c r="E291" s="10">
        <v>5.70056378416E11</v>
      </c>
      <c r="F291" s="3" t="s">
        <v>895</v>
      </c>
      <c r="G291" s="3" t="s">
        <v>197</v>
      </c>
      <c r="H291" s="3" t="s">
        <v>70</v>
      </c>
      <c r="I291" s="3" t="s">
        <v>71</v>
      </c>
      <c r="J291" s="12" t="s">
        <v>89</v>
      </c>
      <c r="K291" s="3"/>
      <c r="L291" s="3"/>
      <c r="M291" s="3"/>
      <c r="N291" s="3"/>
      <c r="O291" s="3"/>
      <c r="P291" s="3"/>
      <c r="Q291" s="3"/>
    </row>
    <row r="292" ht="15.75" customHeight="1">
      <c r="A292" s="10">
        <v>291.0</v>
      </c>
      <c r="B292" s="3" t="s">
        <v>896</v>
      </c>
      <c r="C292" s="3" t="s">
        <v>877</v>
      </c>
      <c r="D292" s="11" t="s">
        <v>894</v>
      </c>
      <c r="E292" s="10">
        <v>5.70056378417E11</v>
      </c>
      <c r="F292" s="3" t="s">
        <v>405</v>
      </c>
      <c r="G292" s="3" t="s">
        <v>197</v>
      </c>
      <c r="H292" s="3" t="s">
        <v>70</v>
      </c>
      <c r="I292" s="3" t="s">
        <v>71</v>
      </c>
      <c r="J292" s="12" t="s">
        <v>89</v>
      </c>
      <c r="K292" s="3"/>
      <c r="L292" s="3"/>
      <c r="M292" s="3"/>
      <c r="N292" s="3"/>
      <c r="O292" s="3"/>
      <c r="P292" s="3"/>
      <c r="Q292" s="3"/>
    </row>
    <row r="293" ht="15.75" customHeight="1">
      <c r="A293" s="10">
        <v>292.0</v>
      </c>
      <c r="B293" s="3" t="s">
        <v>897</v>
      </c>
      <c r="C293" s="3" t="s">
        <v>898</v>
      </c>
      <c r="D293" s="11" t="s">
        <v>899</v>
      </c>
      <c r="E293" s="10">
        <v>5.70056378418E11</v>
      </c>
      <c r="F293" s="3" t="s">
        <v>900</v>
      </c>
      <c r="G293" s="3" t="s">
        <v>197</v>
      </c>
      <c r="H293" s="3" t="s">
        <v>70</v>
      </c>
      <c r="I293" s="3" t="s">
        <v>71</v>
      </c>
      <c r="J293" s="12" t="s">
        <v>89</v>
      </c>
      <c r="K293" s="3"/>
      <c r="L293" s="3"/>
      <c r="M293" s="3"/>
      <c r="N293" s="3"/>
      <c r="O293" s="3"/>
      <c r="P293" s="3"/>
      <c r="Q293" s="3"/>
    </row>
    <row r="294" ht="15.75" customHeight="1">
      <c r="A294" s="10">
        <v>293.0</v>
      </c>
      <c r="B294" s="3" t="s">
        <v>901</v>
      </c>
      <c r="C294" s="3" t="s">
        <v>898</v>
      </c>
      <c r="D294" s="11" t="s">
        <v>902</v>
      </c>
      <c r="E294" s="10">
        <v>5.70056378419E11</v>
      </c>
      <c r="F294" s="3" t="s">
        <v>405</v>
      </c>
      <c r="G294" s="3" t="s">
        <v>197</v>
      </c>
      <c r="H294" s="3" t="s">
        <v>70</v>
      </c>
      <c r="I294" s="3" t="s">
        <v>71</v>
      </c>
      <c r="J294" s="12" t="s">
        <v>89</v>
      </c>
      <c r="K294" s="3"/>
      <c r="L294" s="3"/>
      <c r="M294" s="3"/>
      <c r="N294" s="3"/>
      <c r="O294" s="3"/>
      <c r="P294" s="3"/>
      <c r="Q294" s="3"/>
    </row>
    <row r="295" ht="15.75" customHeight="1">
      <c r="A295" s="10">
        <v>294.0</v>
      </c>
      <c r="B295" s="3" t="s">
        <v>903</v>
      </c>
      <c r="C295" s="3" t="s">
        <v>904</v>
      </c>
      <c r="D295" s="11" t="s">
        <v>905</v>
      </c>
      <c r="E295" s="10">
        <v>5.70056378425E11</v>
      </c>
      <c r="F295" s="3" t="s">
        <v>906</v>
      </c>
      <c r="G295" s="3" t="s">
        <v>12</v>
      </c>
      <c r="H295" s="3" t="s">
        <v>70</v>
      </c>
      <c r="I295" s="3" t="s">
        <v>71</v>
      </c>
      <c r="J295" s="12" t="s">
        <v>89</v>
      </c>
      <c r="K295" s="3"/>
      <c r="L295" s="3"/>
      <c r="M295" s="3"/>
      <c r="N295" s="3"/>
      <c r="O295" s="3"/>
      <c r="P295" s="3"/>
      <c r="Q295" s="3"/>
    </row>
    <row r="296" ht="15.75" customHeight="1">
      <c r="A296" s="10">
        <v>295.0</v>
      </c>
      <c r="B296" s="3" t="s">
        <v>907</v>
      </c>
      <c r="C296" s="7" t="s">
        <v>908</v>
      </c>
      <c r="D296" s="11" t="s">
        <v>21</v>
      </c>
      <c r="E296" s="10">
        <v>5.70056378433E11</v>
      </c>
      <c r="F296" s="3" t="s">
        <v>882</v>
      </c>
      <c r="G296" s="3" t="s">
        <v>197</v>
      </c>
      <c r="H296" s="3" t="s">
        <v>70</v>
      </c>
      <c r="I296" s="3" t="s">
        <v>71</v>
      </c>
      <c r="J296" s="12" t="s">
        <v>89</v>
      </c>
      <c r="K296" s="3"/>
      <c r="L296" s="3"/>
      <c r="M296" s="3"/>
      <c r="N296" s="3"/>
      <c r="O296" s="3"/>
      <c r="P296" s="3"/>
      <c r="Q296" s="3"/>
    </row>
    <row r="297" ht="15.75" customHeight="1">
      <c r="A297" s="10">
        <v>296.0</v>
      </c>
      <c r="B297" s="3" t="s">
        <v>903</v>
      </c>
      <c r="C297" s="3" t="s">
        <v>909</v>
      </c>
      <c r="D297" s="11" t="s">
        <v>834</v>
      </c>
      <c r="E297" s="10">
        <v>5.70056378436E11</v>
      </c>
      <c r="F297" s="3" t="s">
        <v>880</v>
      </c>
      <c r="G297" s="3" t="s">
        <v>12</v>
      </c>
      <c r="H297" s="3" t="s">
        <v>70</v>
      </c>
      <c r="I297" s="3" t="s">
        <v>71</v>
      </c>
      <c r="J297" s="12" t="s">
        <v>89</v>
      </c>
      <c r="K297" s="3"/>
      <c r="L297" s="3"/>
      <c r="M297" s="3"/>
      <c r="N297" s="3"/>
      <c r="O297" s="3"/>
      <c r="P297" s="3"/>
      <c r="Q297" s="3"/>
    </row>
    <row r="298" ht="15.75" customHeight="1">
      <c r="A298" s="10">
        <v>297.0</v>
      </c>
      <c r="B298" s="3" t="s">
        <v>910</v>
      </c>
      <c r="C298" s="3" t="s">
        <v>911</v>
      </c>
      <c r="D298" s="11" t="s">
        <v>912</v>
      </c>
      <c r="E298" s="10">
        <v>5.70056378444E11</v>
      </c>
      <c r="F298" s="3" t="s">
        <v>913</v>
      </c>
      <c r="G298" s="3" t="s">
        <v>12</v>
      </c>
      <c r="H298" s="3" t="s">
        <v>70</v>
      </c>
      <c r="I298" s="3" t="s">
        <v>71</v>
      </c>
      <c r="J298" s="12" t="s">
        <v>89</v>
      </c>
      <c r="K298" s="3"/>
      <c r="L298" s="3"/>
      <c r="M298" s="3"/>
      <c r="N298" s="3"/>
      <c r="O298" s="3"/>
      <c r="P298" s="3"/>
      <c r="Q298" s="3"/>
    </row>
    <row r="299" ht="15.75" customHeight="1">
      <c r="A299" s="10">
        <v>298.0</v>
      </c>
      <c r="B299" s="3" t="s">
        <v>914</v>
      </c>
      <c r="C299" s="3" t="s">
        <v>915</v>
      </c>
      <c r="D299" s="11" t="s">
        <v>850</v>
      </c>
      <c r="E299" s="10">
        <v>5.70056378451E11</v>
      </c>
      <c r="F299" s="3" t="s">
        <v>916</v>
      </c>
      <c r="G299" s="3" t="s">
        <v>62</v>
      </c>
      <c r="H299" s="3" t="s">
        <v>70</v>
      </c>
      <c r="I299" s="3" t="s">
        <v>71</v>
      </c>
      <c r="J299" s="12" t="s">
        <v>89</v>
      </c>
      <c r="K299" s="3"/>
      <c r="L299" s="3"/>
      <c r="M299" s="3"/>
      <c r="N299" s="3"/>
      <c r="O299" s="3"/>
      <c r="P299" s="3"/>
      <c r="Q299" s="3"/>
    </row>
    <row r="300" ht="15.75" customHeight="1">
      <c r="A300" s="10">
        <v>299.0</v>
      </c>
      <c r="B300" s="3" t="s">
        <v>917</v>
      </c>
      <c r="C300" s="3" t="s">
        <v>918</v>
      </c>
      <c r="D300" s="11" t="s">
        <v>402</v>
      </c>
      <c r="E300" s="10">
        <v>5.70056378452E11</v>
      </c>
      <c r="F300" s="3" t="s">
        <v>919</v>
      </c>
      <c r="G300" s="3" t="s">
        <v>12</v>
      </c>
      <c r="H300" s="3" t="s">
        <v>70</v>
      </c>
      <c r="I300" s="3" t="s">
        <v>71</v>
      </c>
      <c r="J300" s="12" t="s">
        <v>89</v>
      </c>
      <c r="K300" s="3"/>
      <c r="L300" s="3"/>
      <c r="M300" s="3"/>
      <c r="N300" s="3"/>
      <c r="O300" s="3"/>
      <c r="P300" s="3"/>
      <c r="Q300" s="3"/>
    </row>
    <row r="301" ht="15.75" customHeight="1">
      <c r="A301" s="10">
        <v>300.0</v>
      </c>
      <c r="B301" s="3" t="s">
        <v>920</v>
      </c>
      <c r="C301" s="3" t="s">
        <v>921</v>
      </c>
      <c r="D301" s="11" t="s">
        <v>922</v>
      </c>
      <c r="E301" s="10">
        <v>5.70056378454E11</v>
      </c>
      <c r="F301" s="3" t="s">
        <v>923</v>
      </c>
      <c r="G301" s="3" t="s">
        <v>12</v>
      </c>
      <c r="H301" s="3" t="s">
        <v>70</v>
      </c>
      <c r="I301" s="3" t="s">
        <v>71</v>
      </c>
      <c r="J301" s="12" t="s">
        <v>89</v>
      </c>
      <c r="K301" s="3"/>
      <c r="L301" s="3"/>
      <c r="M301" s="3"/>
      <c r="N301" s="3"/>
      <c r="O301" s="3"/>
      <c r="P301" s="3"/>
      <c r="Q301" s="3"/>
    </row>
    <row r="302" ht="15.75" customHeight="1">
      <c r="A302" s="10">
        <v>301.0</v>
      </c>
      <c r="B302" s="3" t="s">
        <v>924</v>
      </c>
      <c r="C302" s="3" t="s">
        <v>925</v>
      </c>
      <c r="D302" s="11" t="s">
        <v>926</v>
      </c>
      <c r="E302" s="10">
        <v>5.70056378455E11</v>
      </c>
      <c r="F302" s="3" t="s">
        <v>927</v>
      </c>
      <c r="G302" s="3" t="s">
        <v>62</v>
      </c>
      <c r="H302" s="3" t="s">
        <v>70</v>
      </c>
      <c r="I302" s="3" t="s">
        <v>71</v>
      </c>
      <c r="J302" s="12" t="s">
        <v>89</v>
      </c>
      <c r="K302" s="3"/>
      <c r="L302" s="3"/>
      <c r="M302" s="3"/>
      <c r="N302" s="3"/>
      <c r="O302" s="3"/>
      <c r="P302" s="3"/>
      <c r="Q302" s="3"/>
    </row>
    <row r="303" ht="15.75" customHeight="1">
      <c r="A303" s="10">
        <v>302.0</v>
      </c>
      <c r="B303" s="3" t="s">
        <v>928</v>
      </c>
      <c r="C303" s="3" t="s">
        <v>929</v>
      </c>
      <c r="D303" s="11" t="s">
        <v>662</v>
      </c>
      <c r="E303" s="10">
        <v>5.70056378456E11</v>
      </c>
      <c r="F303" s="3" t="s">
        <v>930</v>
      </c>
      <c r="G303" s="3" t="s">
        <v>62</v>
      </c>
      <c r="H303" s="3" t="s">
        <v>70</v>
      </c>
      <c r="I303" s="3" t="s">
        <v>71</v>
      </c>
      <c r="J303" s="12" t="s">
        <v>89</v>
      </c>
      <c r="K303" s="3"/>
      <c r="L303" s="3"/>
      <c r="M303" s="3"/>
      <c r="N303" s="3"/>
      <c r="O303" s="3"/>
      <c r="P303" s="3"/>
      <c r="Q303" s="3"/>
    </row>
    <row r="304" ht="15.75" customHeight="1">
      <c r="A304" s="10">
        <v>303.0</v>
      </c>
      <c r="B304" s="3" t="s">
        <v>931</v>
      </c>
      <c r="C304" s="3" t="s">
        <v>932</v>
      </c>
      <c r="D304" s="11" t="s">
        <v>933</v>
      </c>
      <c r="E304" s="10">
        <v>5.70056378457E11</v>
      </c>
      <c r="F304" s="3" t="s">
        <v>934</v>
      </c>
      <c r="G304" s="3" t="s">
        <v>12</v>
      </c>
      <c r="H304" s="3" t="s">
        <v>70</v>
      </c>
      <c r="I304" s="3" t="s">
        <v>71</v>
      </c>
      <c r="J304" s="12" t="s">
        <v>89</v>
      </c>
      <c r="K304" s="3"/>
      <c r="L304" s="3"/>
      <c r="M304" s="3"/>
      <c r="N304" s="3"/>
      <c r="O304" s="3"/>
      <c r="P304" s="3"/>
      <c r="Q304" s="3"/>
    </row>
    <row r="305" ht="15.75" customHeight="1">
      <c r="A305" s="10">
        <v>304.0</v>
      </c>
      <c r="B305" s="3" t="s">
        <v>935</v>
      </c>
      <c r="C305" s="3" t="s">
        <v>936</v>
      </c>
      <c r="D305" s="11" t="s">
        <v>937</v>
      </c>
      <c r="E305" s="10">
        <v>5.70056378458E11</v>
      </c>
      <c r="F305" s="3" t="s">
        <v>938</v>
      </c>
      <c r="G305" s="3" t="s">
        <v>12</v>
      </c>
      <c r="H305" s="3" t="s">
        <v>70</v>
      </c>
      <c r="I305" s="3" t="s">
        <v>71</v>
      </c>
      <c r="J305" s="12" t="s">
        <v>89</v>
      </c>
      <c r="K305" s="3"/>
      <c r="L305" s="3"/>
      <c r="M305" s="3"/>
      <c r="N305" s="3"/>
      <c r="O305" s="3"/>
      <c r="P305" s="3"/>
      <c r="Q305" s="3"/>
    </row>
    <row r="306" ht="15.75" customHeight="1">
      <c r="A306" s="10">
        <v>305.0</v>
      </c>
      <c r="B306" s="3" t="s">
        <v>939</v>
      </c>
      <c r="C306" s="7" t="s">
        <v>940</v>
      </c>
      <c r="D306" s="11" t="s">
        <v>941</v>
      </c>
      <c r="E306" s="10">
        <v>5.70056378461E11</v>
      </c>
      <c r="F306" s="3" t="s">
        <v>942</v>
      </c>
      <c r="G306" s="3" t="s">
        <v>12</v>
      </c>
      <c r="H306" s="3" t="s">
        <v>70</v>
      </c>
      <c r="I306" s="3" t="s">
        <v>71</v>
      </c>
      <c r="J306" s="12" t="s">
        <v>89</v>
      </c>
      <c r="K306" s="3"/>
      <c r="L306" s="3"/>
      <c r="M306" s="3"/>
      <c r="N306" s="3"/>
      <c r="O306" s="3"/>
      <c r="P306" s="3"/>
      <c r="Q306" s="3"/>
    </row>
    <row r="307" ht="15.75" customHeight="1">
      <c r="A307" s="8">
        <v>306.0</v>
      </c>
      <c r="B307" s="3" t="s">
        <v>943</v>
      </c>
      <c r="C307" s="3" t="s">
        <v>940</v>
      </c>
      <c r="D307" s="11" t="s">
        <v>795</v>
      </c>
      <c r="E307" s="10">
        <v>5.70056378462E11</v>
      </c>
      <c r="F307" s="3" t="s">
        <v>944</v>
      </c>
      <c r="G307" s="3" t="s">
        <v>12</v>
      </c>
      <c r="H307" s="3" t="s">
        <v>70</v>
      </c>
      <c r="I307" s="3" t="s">
        <v>71</v>
      </c>
      <c r="J307" s="12" t="s">
        <v>89</v>
      </c>
      <c r="K307" s="3"/>
      <c r="L307" s="3"/>
      <c r="M307" s="3"/>
      <c r="N307" s="3"/>
      <c r="O307" s="3"/>
      <c r="P307" s="3"/>
      <c r="Q307" s="3"/>
    </row>
    <row r="308" ht="15.75" customHeight="1">
      <c r="A308" s="10">
        <v>307.0</v>
      </c>
      <c r="B308" s="3" t="s">
        <v>945</v>
      </c>
      <c r="C308" s="3" t="s">
        <v>946</v>
      </c>
      <c r="D308" s="11" t="s">
        <v>947</v>
      </c>
      <c r="E308" s="10">
        <v>5.70056378463E11</v>
      </c>
      <c r="F308" s="3" t="s">
        <v>948</v>
      </c>
      <c r="G308" s="3" t="s">
        <v>12</v>
      </c>
      <c r="H308" s="3" t="s">
        <v>70</v>
      </c>
      <c r="I308" s="3" t="s">
        <v>71</v>
      </c>
      <c r="J308" s="12" t="s">
        <v>89</v>
      </c>
      <c r="K308" s="3"/>
      <c r="L308" s="3"/>
      <c r="M308" s="3"/>
      <c r="N308" s="3"/>
      <c r="O308" s="3"/>
      <c r="P308" s="3"/>
      <c r="Q308" s="3"/>
    </row>
    <row r="309" ht="15.75" customHeight="1">
      <c r="A309" s="10">
        <v>308.0</v>
      </c>
      <c r="B309" s="7" t="s">
        <v>427</v>
      </c>
      <c r="C309" s="3"/>
      <c r="D309" s="11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 ht="15.75" customHeight="1">
      <c r="A310" s="10">
        <v>309.0</v>
      </c>
      <c r="B310" s="3" t="s">
        <v>949</v>
      </c>
      <c r="C310" s="3" t="s">
        <v>950</v>
      </c>
      <c r="D310" s="11" t="s">
        <v>850</v>
      </c>
      <c r="E310" s="10">
        <v>5.70056378469E11</v>
      </c>
      <c r="F310" s="3" t="s">
        <v>951</v>
      </c>
      <c r="G310" s="3" t="s">
        <v>12</v>
      </c>
      <c r="H310" s="3" t="s">
        <v>70</v>
      </c>
      <c r="I310" s="3" t="s">
        <v>71</v>
      </c>
      <c r="J310" s="12" t="s">
        <v>89</v>
      </c>
      <c r="K310" s="3"/>
      <c r="L310" s="3"/>
      <c r="M310" s="3"/>
      <c r="N310" s="3"/>
      <c r="O310" s="3"/>
      <c r="P310" s="3"/>
      <c r="Q310" s="3"/>
    </row>
    <row r="311" ht="15.75" customHeight="1">
      <c r="A311" s="10">
        <v>310.0</v>
      </c>
      <c r="B311" s="3" t="s">
        <v>911</v>
      </c>
      <c r="C311" s="3" t="s">
        <v>952</v>
      </c>
      <c r="D311" s="11" t="s">
        <v>831</v>
      </c>
      <c r="E311" s="10">
        <v>5.70056378472E11</v>
      </c>
      <c r="F311" s="3" t="s">
        <v>953</v>
      </c>
      <c r="G311" s="3" t="s">
        <v>12</v>
      </c>
      <c r="H311" s="3" t="s">
        <v>70</v>
      </c>
      <c r="I311" s="3" t="s">
        <v>71</v>
      </c>
      <c r="J311" s="12" t="s">
        <v>89</v>
      </c>
      <c r="K311" s="3"/>
      <c r="L311" s="3"/>
      <c r="M311" s="3"/>
      <c r="N311" s="3"/>
      <c r="O311" s="3"/>
      <c r="P311" s="3"/>
      <c r="Q311" s="3"/>
    </row>
    <row r="312" ht="15.75" customHeight="1">
      <c r="A312" s="10">
        <v>311.0</v>
      </c>
      <c r="B312" s="3" t="s">
        <v>954</v>
      </c>
      <c r="C312" s="3" t="s">
        <v>955</v>
      </c>
      <c r="D312" s="11" t="s">
        <v>956</v>
      </c>
      <c r="E312" s="10">
        <v>5.70056378473E11</v>
      </c>
      <c r="F312" s="3" t="s">
        <v>832</v>
      </c>
      <c r="G312" s="3" t="s">
        <v>12</v>
      </c>
      <c r="H312" s="3" t="s">
        <v>70</v>
      </c>
      <c r="I312" s="3" t="s">
        <v>71</v>
      </c>
      <c r="J312" s="12" t="s">
        <v>89</v>
      </c>
      <c r="K312" s="3"/>
      <c r="L312" s="3"/>
      <c r="M312" s="3"/>
      <c r="N312" s="3"/>
      <c r="O312" s="3"/>
      <c r="P312" s="3"/>
      <c r="Q312" s="3"/>
    </row>
    <row r="313" ht="15.75" customHeight="1">
      <c r="A313" s="10">
        <v>312.0</v>
      </c>
      <c r="B313" s="3" t="s">
        <v>957</v>
      </c>
      <c r="C313" s="3" t="s">
        <v>958</v>
      </c>
      <c r="D313" s="11" t="s">
        <v>959</v>
      </c>
      <c r="E313" s="10">
        <v>5.70056378474E11</v>
      </c>
      <c r="F313" s="3" t="s">
        <v>455</v>
      </c>
      <c r="G313" s="3" t="s">
        <v>37</v>
      </c>
      <c r="H313" s="3" t="s">
        <v>70</v>
      </c>
      <c r="I313" s="3" t="s">
        <v>71</v>
      </c>
      <c r="J313" s="12" t="s">
        <v>89</v>
      </c>
      <c r="K313" s="3"/>
      <c r="L313" s="3"/>
      <c r="M313" s="3"/>
      <c r="N313" s="3"/>
      <c r="O313" s="3"/>
      <c r="P313" s="3"/>
      <c r="Q313" s="3"/>
    </row>
    <row r="314" ht="15.75" customHeight="1">
      <c r="A314" s="10">
        <v>313.0</v>
      </c>
      <c r="B314" s="9" t="s">
        <v>960</v>
      </c>
      <c r="C314" s="3" t="s">
        <v>961</v>
      </c>
      <c r="D314" s="11" t="s">
        <v>947</v>
      </c>
      <c r="E314" s="10">
        <v>5.70056378477E11</v>
      </c>
      <c r="F314" s="3" t="s">
        <v>962</v>
      </c>
      <c r="G314" s="3" t="s">
        <v>12</v>
      </c>
      <c r="H314" s="3" t="s">
        <v>70</v>
      </c>
      <c r="I314" s="3" t="s">
        <v>71</v>
      </c>
      <c r="J314" s="12" t="s">
        <v>89</v>
      </c>
      <c r="K314" s="3"/>
      <c r="L314" s="3"/>
      <c r="M314" s="3"/>
      <c r="N314" s="3"/>
      <c r="O314" s="3"/>
      <c r="P314" s="3"/>
      <c r="Q314" s="3"/>
    </row>
    <row r="315" ht="15.75" customHeight="1">
      <c r="A315" s="10">
        <v>314.0</v>
      </c>
      <c r="B315" s="3" t="s">
        <v>963</v>
      </c>
      <c r="C315" s="3" t="s">
        <v>964</v>
      </c>
      <c r="D315" s="11" t="s">
        <v>965</v>
      </c>
      <c r="E315" s="10">
        <v>5.70056378478E11</v>
      </c>
      <c r="F315" s="3" t="s">
        <v>966</v>
      </c>
      <c r="G315" s="3" t="s">
        <v>12</v>
      </c>
      <c r="H315" s="3" t="s">
        <v>70</v>
      </c>
      <c r="I315" s="3" t="s">
        <v>71</v>
      </c>
      <c r="J315" s="12" t="s">
        <v>89</v>
      </c>
      <c r="K315" s="3"/>
      <c r="L315" s="3"/>
      <c r="M315" s="3"/>
      <c r="N315" s="3"/>
      <c r="O315" s="3"/>
      <c r="P315" s="3"/>
      <c r="Q315" s="3"/>
    </row>
    <row r="316" ht="15.75" customHeight="1">
      <c r="A316" s="10">
        <v>315.0</v>
      </c>
      <c r="B316" s="3" t="s">
        <v>967</v>
      </c>
      <c r="C316" s="3" t="s">
        <v>968</v>
      </c>
      <c r="D316" s="11" t="s">
        <v>969</v>
      </c>
      <c r="E316" s="10">
        <v>5.7005637848E11</v>
      </c>
      <c r="F316" s="3" t="s">
        <v>218</v>
      </c>
      <c r="G316" s="3" t="s">
        <v>12</v>
      </c>
      <c r="H316" s="3" t="s">
        <v>70</v>
      </c>
      <c r="I316" s="3" t="s">
        <v>71</v>
      </c>
      <c r="J316" s="12" t="s">
        <v>89</v>
      </c>
      <c r="K316" s="3"/>
      <c r="L316" s="3"/>
      <c r="M316" s="3"/>
      <c r="N316" s="3"/>
      <c r="O316" s="3"/>
      <c r="P316" s="3"/>
      <c r="Q316" s="3"/>
    </row>
    <row r="317" ht="15.75" customHeight="1">
      <c r="A317" s="10">
        <v>316.0</v>
      </c>
      <c r="B317" s="3" t="s">
        <v>970</v>
      </c>
      <c r="C317" s="3" t="s">
        <v>971</v>
      </c>
      <c r="D317" s="11" t="s">
        <v>831</v>
      </c>
      <c r="E317" s="10">
        <v>5.70056378481E11</v>
      </c>
      <c r="F317" s="3" t="s">
        <v>972</v>
      </c>
      <c r="G317" s="3" t="s">
        <v>12</v>
      </c>
      <c r="H317" s="3" t="s">
        <v>70</v>
      </c>
      <c r="I317" s="3" t="s">
        <v>71</v>
      </c>
      <c r="J317" s="12" t="s">
        <v>89</v>
      </c>
      <c r="K317" s="3"/>
      <c r="L317" s="3"/>
      <c r="M317" s="3"/>
      <c r="N317" s="3"/>
      <c r="O317" s="3"/>
      <c r="P317" s="3"/>
      <c r="Q317" s="3"/>
    </row>
    <row r="318" ht="15.75" customHeight="1">
      <c r="A318" s="10">
        <v>317.0</v>
      </c>
      <c r="B318" s="3" t="s">
        <v>973</v>
      </c>
      <c r="C318" s="7" t="s">
        <v>974</v>
      </c>
      <c r="D318" s="11" t="s">
        <v>933</v>
      </c>
      <c r="E318" s="10">
        <v>5.70056378482E11</v>
      </c>
      <c r="F318" s="3" t="s">
        <v>975</v>
      </c>
      <c r="G318" s="3" t="s">
        <v>12</v>
      </c>
      <c r="H318" s="3" t="s">
        <v>70</v>
      </c>
      <c r="I318" s="3" t="s">
        <v>71</v>
      </c>
      <c r="J318" s="12" t="s">
        <v>89</v>
      </c>
      <c r="K318" s="3"/>
      <c r="L318" s="3"/>
      <c r="M318" s="3"/>
      <c r="N318" s="3"/>
      <c r="O318" s="3"/>
      <c r="P318" s="3"/>
      <c r="Q318" s="3"/>
    </row>
    <row r="319" ht="15.75" customHeight="1">
      <c r="A319" s="10">
        <v>318.0</v>
      </c>
      <c r="B319" s="3" t="s">
        <v>970</v>
      </c>
      <c r="C319" s="3" t="s">
        <v>976</v>
      </c>
      <c r="D319" s="11" t="s">
        <v>350</v>
      </c>
      <c r="E319" s="10">
        <v>5.70056378486E11</v>
      </c>
      <c r="F319" s="3" t="s">
        <v>977</v>
      </c>
      <c r="G319" s="3" t="s">
        <v>12</v>
      </c>
      <c r="H319" s="3" t="s">
        <v>70</v>
      </c>
      <c r="I319" s="3" t="s">
        <v>71</v>
      </c>
      <c r="J319" s="12" t="s">
        <v>89</v>
      </c>
      <c r="K319" s="3"/>
      <c r="L319" s="3"/>
      <c r="M319" s="3"/>
      <c r="N319" s="3"/>
      <c r="O319" s="3"/>
      <c r="P319" s="3"/>
      <c r="Q319" s="3"/>
    </row>
    <row r="320" ht="15.75" customHeight="1">
      <c r="A320" s="10">
        <v>319.0</v>
      </c>
      <c r="B320" s="3" t="s">
        <v>978</v>
      </c>
      <c r="C320" s="3" t="s">
        <v>979</v>
      </c>
      <c r="D320" s="11" t="s">
        <v>816</v>
      </c>
      <c r="E320" s="10">
        <v>5.70056378487E11</v>
      </c>
      <c r="F320" s="3" t="s">
        <v>980</v>
      </c>
      <c r="G320" s="3" t="s">
        <v>12</v>
      </c>
      <c r="H320" s="3" t="s">
        <v>70</v>
      </c>
      <c r="I320" s="3" t="s">
        <v>71</v>
      </c>
      <c r="J320" s="12" t="s">
        <v>89</v>
      </c>
      <c r="K320" s="3"/>
      <c r="L320" s="3"/>
      <c r="M320" s="3"/>
      <c r="N320" s="3"/>
      <c r="O320" s="3"/>
      <c r="P320" s="3"/>
      <c r="Q320" s="3"/>
    </row>
    <row r="321" ht="15.75" customHeight="1">
      <c r="A321" s="10">
        <v>320.0</v>
      </c>
      <c r="B321" s="3" t="s">
        <v>981</v>
      </c>
      <c r="C321" s="3" t="s">
        <v>982</v>
      </c>
      <c r="D321" s="11" t="s">
        <v>983</v>
      </c>
      <c r="E321" s="10">
        <v>5.70056378488E11</v>
      </c>
      <c r="F321" s="3" t="s">
        <v>984</v>
      </c>
      <c r="G321" s="3" t="s">
        <v>12</v>
      </c>
      <c r="H321" s="3" t="s">
        <v>70</v>
      </c>
      <c r="I321" s="3" t="s">
        <v>71</v>
      </c>
      <c r="J321" s="12" t="s">
        <v>89</v>
      </c>
      <c r="K321" s="3"/>
      <c r="L321" s="3"/>
      <c r="M321" s="3"/>
      <c r="N321" s="3"/>
      <c r="O321" s="3"/>
      <c r="P321" s="3"/>
      <c r="Q321" s="3"/>
    </row>
    <row r="322" ht="15.75" customHeight="1">
      <c r="A322" s="10">
        <v>321.0</v>
      </c>
      <c r="B322" s="7" t="s">
        <v>985</v>
      </c>
      <c r="C322" s="3" t="s">
        <v>979</v>
      </c>
      <c r="D322" s="11" t="s">
        <v>816</v>
      </c>
      <c r="E322" s="10">
        <v>5.70056378489E11</v>
      </c>
      <c r="F322" s="3" t="s">
        <v>986</v>
      </c>
      <c r="G322" s="3" t="s">
        <v>12</v>
      </c>
      <c r="H322" s="3" t="s">
        <v>70</v>
      </c>
      <c r="I322" s="3" t="s">
        <v>71</v>
      </c>
      <c r="J322" s="12" t="s">
        <v>89</v>
      </c>
      <c r="K322" s="3"/>
      <c r="L322" s="3"/>
      <c r="M322" s="3"/>
      <c r="N322" s="3"/>
      <c r="O322" s="3"/>
      <c r="P322" s="3"/>
      <c r="Q322" s="3"/>
    </row>
    <row r="323" ht="15.75" customHeight="1">
      <c r="A323" s="10">
        <v>322.0</v>
      </c>
      <c r="B323" s="3" t="s">
        <v>987</v>
      </c>
      <c r="C323" s="9" t="s">
        <v>988</v>
      </c>
      <c r="D323" s="3" t="s">
        <v>989</v>
      </c>
      <c r="E323" s="10">
        <v>5.7005637849E11</v>
      </c>
      <c r="F323" s="3" t="s">
        <v>990</v>
      </c>
      <c r="G323" s="3" t="s">
        <v>12</v>
      </c>
      <c r="H323" s="12" t="s">
        <v>13</v>
      </c>
      <c r="I323" s="3"/>
      <c r="J323" s="3"/>
      <c r="K323" s="3"/>
      <c r="L323" s="3"/>
      <c r="M323" s="3"/>
      <c r="N323" s="3"/>
      <c r="O323" s="3"/>
      <c r="P323" s="3"/>
      <c r="Q323" s="3"/>
    </row>
    <row r="324" ht="15.75" customHeight="1">
      <c r="A324" s="10">
        <v>323.0</v>
      </c>
      <c r="B324" s="3" t="s">
        <v>991</v>
      </c>
      <c r="C324" s="9" t="s">
        <v>992</v>
      </c>
      <c r="D324" s="3" t="s">
        <v>993</v>
      </c>
      <c r="E324" s="10">
        <v>5.70056378494E11</v>
      </c>
      <c r="F324" s="3" t="s">
        <v>994</v>
      </c>
      <c r="G324" s="3" t="s">
        <v>12</v>
      </c>
      <c r="H324" s="12" t="s">
        <v>13</v>
      </c>
      <c r="I324" s="3"/>
      <c r="J324" s="3"/>
      <c r="K324" s="3"/>
      <c r="L324" s="3"/>
      <c r="M324" s="3"/>
      <c r="N324" s="3"/>
      <c r="O324" s="3"/>
      <c r="P324" s="3"/>
      <c r="Q324" s="3"/>
    </row>
    <row r="325" ht="15.75" customHeight="1">
      <c r="A325" s="10">
        <v>324.0</v>
      </c>
      <c r="B325" s="3" t="s">
        <v>478</v>
      </c>
      <c r="C325" s="3" t="s">
        <v>995</v>
      </c>
      <c r="D325" s="3" t="s">
        <v>996</v>
      </c>
      <c r="E325" s="10">
        <v>5.70056378499E11</v>
      </c>
      <c r="F325" s="3" t="s">
        <v>997</v>
      </c>
      <c r="G325" s="3" t="s">
        <v>12</v>
      </c>
      <c r="H325" s="12" t="s">
        <v>13</v>
      </c>
      <c r="I325" s="3"/>
      <c r="J325" s="3"/>
      <c r="K325" s="3"/>
      <c r="L325" s="3"/>
      <c r="M325" s="3"/>
      <c r="N325" s="3"/>
      <c r="O325" s="3"/>
      <c r="P325" s="3"/>
      <c r="Q325" s="3"/>
    </row>
    <row r="326" ht="15.75" customHeight="1">
      <c r="A326" s="10">
        <v>325.0</v>
      </c>
      <c r="B326" s="3" t="s">
        <v>998</v>
      </c>
      <c r="C326" s="3" t="s">
        <v>999</v>
      </c>
      <c r="D326" s="3" t="s">
        <v>68</v>
      </c>
      <c r="E326" s="10">
        <v>5.700563785E11</v>
      </c>
      <c r="F326" s="3" t="s">
        <v>1000</v>
      </c>
      <c r="G326" s="3" t="s">
        <v>12</v>
      </c>
      <c r="H326" s="12" t="s">
        <v>13</v>
      </c>
      <c r="I326" s="3"/>
      <c r="J326" s="3"/>
      <c r="K326" s="3"/>
      <c r="L326" s="3"/>
      <c r="M326" s="3"/>
      <c r="N326" s="3"/>
      <c r="O326" s="3"/>
      <c r="P326" s="3"/>
      <c r="Q326" s="3"/>
    </row>
    <row r="327" ht="15.75" customHeight="1">
      <c r="A327" s="10">
        <v>326.0</v>
      </c>
      <c r="B327" s="3" t="s">
        <v>1001</v>
      </c>
      <c r="C327" s="3" t="s">
        <v>1002</v>
      </c>
      <c r="D327" s="3" t="s">
        <v>1003</v>
      </c>
      <c r="E327" s="10">
        <v>5.70056378502E11</v>
      </c>
      <c r="F327" s="3" t="s">
        <v>1004</v>
      </c>
      <c r="G327" s="3" t="s">
        <v>197</v>
      </c>
      <c r="H327" s="12" t="s">
        <v>13</v>
      </c>
      <c r="I327" s="3"/>
      <c r="J327" s="3"/>
      <c r="K327" s="3"/>
      <c r="L327" s="3"/>
      <c r="M327" s="3"/>
      <c r="N327" s="3"/>
      <c r="O327" s="3"/>
      <c r="P327" s="3"/>
      <c r="Q327" s="3"/>
    </row>
    <row r="328" ht="15.75" customHeight="1">
      <c r="A328" s="10">
        <v>327.0</v>
      </c>
      <c r="B328" s="3" t="s">
        <v>1005</v>
      </c>
      <c r="C328" s="3" t="s">
        <v>920</v>
      </c>
      <c r="D328" s="3" t="s">
        <v>1006</v>
      </c>
      <c r="E328" s="10">
        <v>5.70056378504E11</v>
      </c>
      <c r="F328" s="3" t="s">
        <v>1007</v>
      </c>
      <c r="G328" s="3" t="s">
        <v>62</v>
      </c>
      <c r="H328" s="12" t="s">
        <v>13</v>
      </c>
      <c r="I328" s="3"/>
      <c r="J328" s="3"/>
      <c r="K328" s="3"/>
      <c r="L328" s="3"/>
      <c r="M328" s="3"/>
      <c r="N328" s="3"/>
      <c r="O328" s="3"/>
      <c r="P328" s="3"/>
      <c r="Q328" s="3"/>
    </row>
    <row r="329" ht="15.75" customHeight="1">
      <c r="A329" s="10">
        <v>328.0</v>
      </c>
      <c r="B329" s="3" t="s">
        <v>1008</v>
      </c>
      <c r="C329" s="3" t="s">
        <v>1009</v>
      </c>
      <c r="D329" s="3" t="s">
        <v>1010</v>
      </c>
      <c r="E329" s="10">
        <v>5.70056378506E11</v>
      </c>
      <c r="F329" s="3" t="s">
        <v>1011</v>
      </c>
      <c r="G329" s="3" t="s">
        <v>197</v>
      </c>
      <c r="H329" s="12" t="s">
        <v>13</v>
      </c>
      <c r="I329" s="3"/>
      <c r="J329" s="3"/>
      <c r="K329" s="3"/>
      <c r="L329" s="3"/>
      <c r="M329" s="3"/>
      <c r="N329" s="3"/>
      <c r="O329" s="3"/>
      <c r="P329" s="3"/>
      <c r="Q329" s="3"/>
    </row>
    <row r="330" ht="15.75" customHeight="1">
      <c r="A330" s="10">
        <v>329.0</v>
      </c>
      <c r="B330" s="3" t="s">
        <v>910</v>
      </c>
      <c r="C330" s="3" t="s">
        <v>893</v>
      </c>
      <c r="D330" s="3" t="s">
        <v>894</v>
      </c>
      <c r="E330" s="10">
        <v>5.70056378507E11</v>
      </c>
      <c r="F330" s="3" t="s">
        <v>17</v>
      </c>
      <c r="G330" s="3" t="s">
        <v>12</v>
      </c>
      <c r="H330" s="12" t="s">
        <v>13</v>
      </c>
      <c r="I330" s="3"/>
      <c r="J330" s="3"/>
      <c r="K330" s="3"/>
      <c r="L330" s="3"/>
      <c r="M330" s="3"/>
      <c r="N330" s="3"/>
      <c r="O330" s="3"/>
      <c r="P330" s="3"/>
      <c r="Q330" s="3"/>
    </row>
    <row r="331" ht="15.75" customHeight="1">
      <c r="A331" s="10">
        <v>330.0</v>
      </c>
      <c r="B331" s="3" t="s">
        <v>1012</v>
      </c>
      <c r="C331" s="9" t="s">
        <v>1013</v>
      </c>
      <c r="D331" s="3" t="s">
        <v>1014</v>
      </c>
      <c r="E331" s="10">
        <v>5.70056378508E11</v>
      </c>
      <c r="F331" s="3" t="s">
        <v>1015</v>
      </c>
      <c r="G331" s="3" t="s">
        <v>50</v>
      </c>
      <c r="H331" s="12" t="s">
        <v>13</v>
      </c>
      <c r="I331" s="3"/>
      <c r="J331" s="3"/>
      <c r="K331" s="3"/>
      <c r="L331" s="3"/>
      <c r="M331" s="3"/>
      <c r="N331" s="3"/>
      <c r="O331" s="3"/>
      <c r="P331" s="3"/>
      <c r="Q331" s="3"/>
    </row>
    <row r="332" ht="15.75" customHeight="1">
      <c r="A332" s="10">
        <v>331.0</v>
      </c>
      <c r="B332" s="3" t="s">
        <v>1016</v>
      </c>
      <c r="C332" s="3" t="s">
        <v>1017</v>
      </c>
      <c r="D332" s="9" t="s">
        <v>1018</v>
      </c>
      <c r="E332" s="10">
        <v>5.70056378509E11</v>
      </c>
      <c r="F332" s="3" t="s">
        <v>1019</v>
      </c>
      <c r="G332" s="3" t="s">
        <v>50</v>
      </c>
      <c r="H332" s="12" t="s">
        <v>13</v>
      </c>
      <c r="I332" s="3"/>
      <c r="J332" s="3"/>
      <c r="K332" s="3"/>
      <c r="L332" s="3"/>
      <c r="M332" s="3"/>
      <c r="N332" s="3"/>
      <c r="O332" s="3"/>
      <c r="P332" s="3"/>
      <c r="Q332" s="3"/>
    </row>
    <row r="333" ht="15.75" customHeight="1">
      <c r="A333" s="10">
        <v>332.0</v>
      </c>
      <c r="B333" s="3" t="s">
        <v>1020</v>
      </c>
      <c r="C333" s="3" t="s">
        <v>1021</v>
      </c>
      <c r="D333" s="3" t="s">
        <v>1022</v>
      </c>
      <c r="E333" s="10">
        <v>5.7005637851E11</v>
      </c>
      <c r="F333" s="3" t="s">
        <v>1023</v>
      </c>
      <c r="G333" s="3" t="s">
        <v>12</v>
      </c>
      <c r="H333" s="12" t="s">
        <v>13</v>
      </c>
      <c r="I333" s="3"/>
      <c r="J333" s="3"/>
      <c r="K333" s="3"/>
      <c r="L333" s="3"/>
      <c r="M333" s="3"/>
      <c r="N333" s="3"/>
      <c r="O333" s="3"/>
      <c r="P333" s="3"/>
      <c r="Q333" s="3"/>
    </row>
    <row r="334" ht="15.75" customHeight="1">
      <c r="A334" s="10">
        <v>333.0</v>
      </c>
      <c r="B334" s="9" t="s">
        <v>1024</v>
      </c>
      <c r="C334" s="3" t="s">
        <v>1025</v>
      </c>
      <c r="D334" s="9" t="s">
        <v>1026</v>
      </c>
      <c r="E334" s="10">
        <v>5.70056378514E11</v>
      </c>
      <c r="F334" s="3" t="s">
        <v>1027</v>
      </c>
      <c r="G334" s="3" t="s">
        <v>12</v>
      </c>
      <c r="H334" s="12" t="s">
        <v>13</v>
      </c>
      <c r="I334" s="3"/>
      <c r="J334" s="3"/>
      <c r="K334" s="3"/>
      <c r="L334" s="3"/>
      <c r="M334" s="3"/>
      <c r="N334" s="3"/>
      <c r="O334" s="3"/>
      <c r="P334" s="3"/>
      <c r="Q334" s="3"/>
    </row>
    <row r="335" ht="15.75" customHeight="1">
      <c r="A335" s="10">
        <v>334.0</v>
      </c>
      <c r="B335" s="3" t="s">
        <v>1028</v>
      </c>
      <c r="C335" s="3" t="s">
        <v>1025</v>
      </c>
      <c r="D335" s="9" t="s">
        <v>1029</v>
      </c>
      <c r="E335" s="10">
        <v>5.70056378516E11</v>
      </c>
      <c r="F335" s="3" t="s">
        <v>1030</v>
      </c>
      <c r="G335" s="3" t="s">
        <v>12</v>
      </c>
      <c r="H335" s="12" t="s">
        <v>13</v>
      </c>
      <c r="I335" s="3"/>
      <c r="J335" s="3"/>
      <c r="K335" s="3"/>
      <c r="L335" s="3"/>
      <c r="M335" s="3"/>
      <c r="N335" s="3"/>
      <c r="O335" s="3"/>
      <c r="P335" s="3"/>
      <c r="Q335" s="3"/>
    </row>
    <row r="336" ht="15.75" customHeight="1">
      <c r="A336" s="10">
        <v>335.0</v>
      </c>
      <c r="B336" s="3" t="s">
        <v>893</v>
      </c>
      <c r="C336" s="3" t="s">
        <v>584</v>
      </c>
      <c r="D336" s="9" t="s">
        <v>894</v>
      </c>
      <c r="E336" s="10">
        <v>5.70056378517E11</v>
      </c>
      <c r="F336" s="3" t="s">
        <v>1031</v>
      </c>
      <c r="G336" s="3" t="s">
        <v>62</v>
      </c>
      <c r="H336" s="12" t="s">
        <v>13</v>
      </c>
      <c r="I336" s="3"/>
      <c r="J336" s="3"/>
      <c r="K336" s="3"/>
      <c r="L336" s="3"/>
      <c r="M336" s="3"/>
      <c r="N336" s="3"/>
      <c r="O336" s="3"/>
      <c r="P336" s="3"/>
      <c r="Q336" s="3"/>
    </row>
    <row r="337" ht="15.75" customHeight="1">
      <c r="A337" s="10">
        <v>336.0</v>
      </c>
      <c r="B337" s="3" t="s">
        <v>1032</v>
      </c>
      <c r="C337" s="3" t="s">
        <v>1033</v>
      </c>
      <c r="D337" s="9" t="s">
        <v>1034</v>
      </c>
      <c r="E337" s="10">
        <v>5.70056378522E11</v>
      </c>
      <c r="F337" s="3" t="s">
        <v>1035</v>
      </c>
      <c r="G337" s="3" t="s">
        <v>62</v>
      </c>
      <c r="H337" s="12" t="s">
        <v>13</v>
      </c>
      <c r="I337" s="3"/>
      <c r="J337" s="3"/>
      <c r="K337" s="3"/>
      <c r="L337" s="3"/>
      <c r="M337" s="3"/>
      <c r="N337" s="3"/>
      <c r="O337" s="3"/>
      <c r="P337" s="3"/>
      <c r="Q337" s="3"/>
    </row>
    <row r="338" ht="15.75" customHeight="1">
      <c r="A338" s="10">
        <v>337.0</v>
      </c>
      <c r="B338" s="3" t="s">
        <v>1036</v>
      </c>
      <c r="C338" s="3" t="s">
        <v>1037</v>
      </c>
      <c r="D338" s="9" t="s">
        <v>1038</v>
      </c>
      <c r="E338" s="10">
        <v>5.70056378527E11</v>
      </c>
      <c r="F338" s="3" t="s">
        <v>17</v>
      </c>
      <c r="G338" s="3" t="s">
        <v>62</v>
      </c>
      <c r="H338" s="12" t="s">
        <v>13</v>
      </c>
      <c r="I338" s="3"/>
      <c r="J338" s="3"/>
      <c r="K338" s="3"/>
      <c r="L338" s="3"/>
      <c r="M338" s="3"/>
      <c r="N338" s="3"/>
      <c r="O338" s="3"/>
      <c r="P338" s="3"/>
      <c r="Q338" s="3"/>
    </row>
    <row r="339" ht="15.75" customHeight="1">
      <c r="A339" s="10">
        <v>338.0</v>
      </c>
      <c r="B339" s="3" t="s">
        <v>1039</v>
      </c>
      <c r="C339" s="3" t="s">
        <v>1040</v>
      </c>
      <c r="D339" s="9" t="s">
        <v>1041</v>
      </c>
      <c r="E339" s="10">
        <v>5.70056378528E11</v>
      </c>
      <c r="F339" s="3" t="s">
        <v>730</v>
      </c>
      <c r="G339" s="3" t="s">
        <v>197</v>
      </c>
      <c r="H339" s="12" t="s">
        <v>13</v>
      </c>
      <c r="I339" s="3"/>
      <c r="J339" s="3"/>
      <c r="K339" s="3"/>
      <c r="L339" s="3"/>
      <c r="M339" s="3"/>
      <c r="N339" s="3"/>
      <c r="O339" s="3"/>
      <c r="P339" s="3"/>
      <c r="Q339" s="3"/>
    </row>
    <row r="340" ht="15.75" customHeight="1">
      <c r="A340" s="10">
        <v>339.0</v>
      </c>
      <c r="B340" s="3" t="s">
        <v>1042</v>
      </c>
      <c r="C340" s="3" t="s">
        <v>1043</v>
      </c>
      <c r="D340" s="9" t="s">
        <v>1044</v>
      </c>
      <c r="E340" s="10">
        <v>5.70056378529E11</v>
      </c>
      <c r="F340" s="3" t="s">
        <v>1007</v>
      </c>
      <c r="G340" s="3" t="s">
        <v>197</v>
      </c>
      <c r="H340" s="12" t="s">
        <v>13</v>
      </c>
      <c r="I340" s="3"/>
      <c r="J340" s="3"/>
      <c r="K340" s="3"/>
      <c r="L340" s="3"/>
      <c r="M340" s="3"/>
      <c r="N340" s="3"/>
      <c r="O340" s="3"/>
      <c r="P340" s="3"/>
      <c r="Q340" s="3"/>
    </row>
    <row r="341" ht="15.75" customHeight="1">
      <c r="A341" s="10">
        <v>340.0</v>
      </c>
      <c r="B341" s="9" t="s">
        <v>1045</v>
      </c>
      <c r="C341" s="3" t="s">
        <v>1046</v>
      </c>
      <c r="D341" s="3" t="s">
        <v>1047</v>
      </c>
      <c r="E341" s="10">
        <v>5.7005637854E11</v>
      </c>
      <c r="F341" s="3" t="s">
        <v>1048</v>
      </c>
      <c r="G341" s="3" t="s">
        <v>12</v>
      </c>
      <c r="H341" s="12" t="s">
        <v>13</v>
      </c>
      <c r="I341" s="3"/>
      <c r="J341" s="3"/>
      <c r="K341" s="3"/>
      <c r="L341" s="3"/>
      <c r="M341" s="3"/>
      <c r="N341" s="3"/>
      <c r="O341" s="3"/>
      <c r="P341" s="3"/>
      <c r="Q341" s="3"/>
    </row>
    <row r="342" ht="15.75" customHeight="1">
      <c r="A342" s="10">
        <v>341.0</v>
      </c>
      <c r="B342" s="3" t="s">
        <v>797</v>
      </c>
      <c r="C342" s="3" t="s">
        <v>1049</v>
      </c>
      <c r="D342" s="3" t="s">
        <v>1050</v>
      </c>
      <c r="E342" s="10">
        <v>5.70056378543E11</v>
      </c>
      <c r="F342" s="3" t="s">
        <v>1051</v>
      </c>
      <c r="G342" s="3" t="s">
        <v>12</v>
      </c>
      <c r="H342" s="12" t="s">
        <v>13</v>
      </c>
      <c r="I342" s="3"/>
      <c r="J342" s="3"/>
      <c r="K342" s="3"/>
      <c r="L342" s="3"/>
      <c r="M342" s="3"/>
      <c r="N342" s="3"/>
      <c r="O342" s="3"/>
      <c r="P342" s="3"/>
      <c r="Q342" s="3"/>
    </row>
    <row r="343" ht="15.75" customHeight="1">
      <c r="A343" s="10">
        <v>342.0</v>
      </c>
      <c r="B343" s="3" t="s">
        <v>1052</v>
      </c>
      <c r="C343" s="3" t="s">
        <v>995</v>
      </c>
      <c r="D343" s="3" t="s">
        <v>996</v>
      </c>
      <c r="E343" s="10">
        <v>5.70056378545E11</v>
      </c>
      <c r="F343" s="3" t="s">
        <v>1053</v>
      </c>
      <c r="G343" s="3" t="s">
        <v>12</v>
      </c>
      <c r="H343" s="12" t="s">
        <v>13</v>
      </c>
      <c r="I343" s="3"/>
      <c r="J343" s="3"/>
      <c r="K343" s="3"/>
      <c r="L343" s="3"/>
      <c r="M343" s="3"/>
      <c r="N343" s="3"/>
      <c r="O343" s="3"/>
      <c r="P343" s="3"/>
      <c r="Q343" s="3"/>
    </row>
    <row r="344" ht="15.75" customHeight="1">
      <c r="A344" s="10">
        <v>343.0</v>
      </c>
      <c r="B344" s="3" t="s">
        <v>1054</v>
      </c>
      <c r="C344" s="3" t="s">
        <v>1055</v>
      </c>
      <c r="D344" s="3" t="s">
        <v>1056</v>
      </c>
      <c r="E344" s="8">
        <v>5.70056378551E11</v>
      </c>
      <c r="F344" s="3" t="s">
        <v>1057</v>
      </c>
      <c r="G344" s="3" t="s">
        <v>12</v>
      </c>
      <c r="H344" s="12" t="s">
        <v>13</v>
      </c>
      <c r="I344" s="3"/>
      <c r="J344" s="3"/>
      <c r="K344" s="3"/>
      <c r="L344" s="3"/>
      <c r="M344" s="3"/>
      <c r="N344" s="3"/>
      <c r="O344" s="3"/>
      <c r="P344" s="3"/>
      <c r="Q344" s="3"/>
    </row>
    <row r="345" ht="15.75" customHeight="1">
      <c r="A345" s="10">
        <v>344.0</v>
      </c>
      <c r="B345" s="3" t="s">
        <v>1058</v>
      </c>
      <c r="C345" s="3" t="s">
        <v>1059</v>
      </c>
      <c r="D345" s="3" t="s">
        <v>1060</v>
      </c>
      <c r="E345" s="10">
        <v>5.70056378555E11</v>
      </c>
      <c r="F345" s="3" t="s">
        <v>895</v>
      </c>
      <c r="G345" s="3" t="s">
        <v>12</v>
      </c>
      <c r="H345" s="12" t="s">
        <v>13</v>
      </c>
      <c r="I345" s="3"/>
      <c r="J345" s="3"/>
      <c r="K345" s="3"/>
      <c r="L345" s="3"/>
      <c r="M345" s="3"/>
      <c r="N345" s="3"/>
      <c r="O345" s="3"/>
      <c r="P345" s="3"/>
      <c r="Q345" s="3"/>
    </row>
    <row r="346" ht="15.75" customHeight="1">
      <c r="A346" s="10">
        <v>345.0</v>
      </c>
      <c r="B346" s="3" t="s">
        <v>9</v>
      </c>
      <c r="C346" s="3" t="s">
        <v>1061</v>
      </c>
      <c r="D346" s="3" t="s">
        <v>1062</v>
      </c>
      <c r="E346" s="10">
        <v>5.70056378557E11</v>
      </c>
      <c r="F346" s="3" t="s">
        <v>1063</v>
      </c>
      <c r="G346" s="3" t="s">
        <v>12</v>
      </c>
      <c r="H346" s="12" t="s">
        <v>13</v>
      </c>
      <c r="I346" s="3"/>
      <c r="J346" s="3"/>
      <c r="K346" s="3"/>
      <c r="L346" s="3"/>
      <c r="M346" s="3"/>
      <c r="N346" s="3"/>
      <c r="O346" s="3"/>
      <c r="P346" s="3"/>
      <c r="Q346" s="3"/>
    </row>
    <row r="347" ht="15.75" customHeight="1">
      <c r="A347" s="10">
        <v>346.0</v>
      </c>
      <c r="B347" s="3" t="s">
        <v>844</v>
      </c>
      <c r="C347" s="3" t="s">
        <v>1064</v>
      </c>
      <c r="D347" s="3" t="s">
        <v>243</v>
      </c>
      <c r="E347" s="10">
        <v>5.70056378558E11</v>
      </c>
      <c r="F347" s="3" t="s">
        <v>1065</v>
      </c>
      <c r="G347" s="3" t="s">
        <v>12</v>
      </c>
      <c r="H347" s="12" t="s">
        <v>13</v>
      </c>
      <c r="I347" s="3"/>
      <c r="J347" s="3"/>
      <c r="K347" s="3"/>
      <c r="L347" s="3"/>
      <c r="M347" s="3"/>
      <c r="N347" s="3"/>
      <c r="O347" s="3"/>
      <c r="P347" s="3"/>
      <c r="Q347" s="3"/>
    </row>
    <row r="348" ht="15.75" customHeight="1">
      <c r="A348" s="10">
        <v>347.0</v>
      </c>
      <c r="B348" s="3" t="s">
        <v>136</v>
      </c>
      <c r="C348" s="3" t="s">
        <v>1066</v>
      </c>
      <c r="D348" s="3" t="s">
        <v>1067</v>
      </c>
      <c r="E348" s="10">
        <v>5.70056378559E11</v>
      </c>
      <c r="F348" s="3" t="s">
        <v>1068</v>
      </c>
      <c r="G348" s="3" t="s">
        <v>12</v>
      </c>
      <c r="H348" s="12" t="s">
        <v>13</v>
      </c>
      <c r="I348" s="3"/>
      <c r="J348" s="3"/>
      <c r="K348" s="3"/>
      <c r="L348" s="3"/>
      <c r="M348" s="3"/>
      <c r="N348" s="3"/>
      <c r="O348" s="3"/>
      <c r="P348" s="3"/>
      <c r="Q348" s="3"/>
    </row>
    <row r="349" ht="15.75" customHeight="1">
      <c r="A349" s="10">
        <v>348.0</v>
      </c>
      <c r="B349" s="3" t="s">
        <v>1069</v>
      </c>
      <c r="C349" s="3" t="s">
        <v>1070</v>
      </c>
      <c r="D349" s="3" t="s">
        <v>662</v>
      </c>
      <c r="E349" s="10">
        <v>5.7005637856E11</v>
      </c>
      <c r="F349" s="3" t="s">
        <v>793</v>
      </c>
      <c r="G349" s="3" t="s">
        <v>12</v>
      </c>
      <c r="H349" s="12" t="s">
        <v>13</v>
      </c>
      <c r="I349" s="3"/>
      <c r="J349" s="3"/>
      <c r="K349" s="3"/>
      <c r="L349" s="3"/>
      <c r="M349" s="3"/>
      <c r="N349" s="3"/>
      <c r="O349" s="3"/>
      <c r="P349" s="3"/>
      <c r="Q349" s="3"/>
    </row>
    <row r="350" ht="15.75" customHeight="1">
      <c r="A350" s="10">
        <v>349.0</v>
      </c>
      <c r="B350" s="3" t="s">
        <v>1071</v>
      </c>
      <c r="C350" s="3" t="s">
        <v>1072</v>
      </c>
      <c r="D350" s="3" t="s">
        <v>662</v>
      </c>
      <c r="E350" s="10">
        <v>5.70056378561E11</v>
      </c>
      <c r="F350" s="3" t="s">
        <v>1073</v>
      </c>
      <c r="G350" s="3" t="s">
        <v>12</v>
      </c>
      <c r="H350" s="12" t="s">
        <v>13</v>
      </c>
      <c r="I350" s="3"/>
      <c r="J350" s="3"/>
      <c r="K350" s="3"/>
      <c r="L350" s="3"/>
      <c r="M350" s="3"/>
      <c r="N350" s="3"/>
      <c r="O350" s="3"/>
      <c r="P350" s="3"/>
      <c r="Q350" s="3"/>
    </row>
    <row r="351" ht="15.75" customHeight="1">
      <c r="A351" s="10">
        <v>350.0</v>
      </c>
      <c r="B351" s="3" t="s">
        <v>1074</v>
      </c>
      <c r="C351" s="3" t="s">
        <v>1075</v>
      </c>
      <c r="D351" s="3" t="s">
        <v>1076</v>
      </c>
      <c r="E351" s="8">
        <v>5.70056378562E11</v>
      </c>
      <c r="F351" s="3" t="s">
        <v>1077</v>
      </c>
      <c r="G351" s="3" t="s">
        <v>197</v>
      </c>
      <c r="H351" s="12" t="s">
        <v>13</v>
      </c>
      <c r="I351" s="3"/>
      <c r="J351" s="3"/>
      <c r="K351" s="3"/>
      <c r="L351" s="3"/>
      <c r="M351" s="3"/>
      <c r="N351" s="3"/>
      <c r="O351" s="3"/>
      <c r="P351" s="3"/>
      <c r="Q351" s="3"/>
    </row>
    <row r="352" ht="15.75" customHeight="1">
      <c r="A352" s="10">
        <v>351.0</v>
      </c>
      <c r="B352" s="3" t="s">
        <v>52</v>
      </c>
      <c r="C352" s="3" t="s">
        <v>1078</v>
      </c>
      <c r="D352" s="3" t="s">
        <v>21</v>
      </c>
      <c r="E352" s="10">
        <v>5.70056378563E11</v>
      </c>
      <c r="F352" s="3" t="s">
        <v>1079</v>
      </c>
      <c r="G352" s="3" t="s">
        <v>12</v>
      </c>
      <c r="H352" s="12" t="s">
        <v>13</v>
      </c>
      <c r="I352" s="3"/>
      <c r="J352" s="3"/>
      <c r="K352" s="3"/>
      <c r="L352" s="3"/>
      <c r="M352" s="3"/>
      <c r="N352" s="3"/>
      <c r="O352" s="3"/>
      <c r="P352" s="3"/>
      <c r="Q352" s="3"/>
    </row>
    <row r="353" ht="15.75" customHeight="1">
      <c r="A353" s="10">
        <v>352.0</v>
      </c>
      <c r="B353" s="3" t="s">
        <v>914</v>
      </c>
      <c r="C353" s="3" t="s">
        <v>924</v>
      </c>
      <c r="D353" s="3" t="s">
        <v>1080</v>
      </c>
      <c r="E353" s="10">
        <v>5.70056378564E11</v>
      </c>
      <c r="F353" s="3" t="s">
        <v>1081</v>
      </c>
      <c r="G353" s="3" t="s">
        <v>197</v>
      </c>
      <c r="H353" s="12" t="s">
        <v>13</v>
      </c>
      <c r="I353" s="3"/>
      <c r="J353" s="3"/>
      <c r="K353" s="3"/>
      <c r="L353" s="3"/>
      <c r="M353" s="3"/>
      <c r="N353" s="3"/>
      <c r="O353" s="3"/>
      <c r="P353" s="3"/>
      <c r="Q353" s="3"/>
    </row>
    <row r="354" ht="15.75" customHeight="1">
      <c r="A354" s="10">
        <v>353.0</v>
      </c>
      <c r="B354" s="9" t="s">
        <v>1082</v>
      </c>
      <c r="C354" s="3" t="s">
        <v>1083</v>
      </c>
      <c r="D354" s="3" t="s">
        <v>1084</v>
      </c>
      <c r="E354" s="10">
        <v>5.70056378565E11</v>
      </c>
      <c r="F354" s="3" t="s">
        <v>1085</v>
      </c>
      <c r="G354" s="3" t="s">
        <v>12</v>
      </c>
      <c r="H354" s="12" t="s">
        <v>13</v>
      </c>
      <c r="I354" s="3"/>
      <c r="J354" s="3"/>
      <c r="K354" s="3"/>
      <c r="L354" s="3"/>
      <c r="M354" s="3"/>
      <c r="N354" s="3"/>
      <c r="O354" s="3"/>
      <c r="P354" s="3"/>
      <c r="Q354" s="3"/>
    </row>
    <row r="355" ht="15.75" customHeight="1">
      <c r="A355" s="10">
        <v>354.0</v>
      </c>
      <c r="B355" s="9" t="s">
        <v>1086</v>
      </c>
      <c r="C355" s="3" t="s">
        <v>1087</v>
      </c>
      <c r="D355" s="3" t="s">
        <v>226</v>
      </c>
      <c r="E355" s="10">
        <v>5.70056378566E11</v>
      </c>
      <c r="F355" s="3" t="s">
        <v>1088</v>
      </c>
      <c r="G355" s="3" t="s">
        <v>62</v>
      </c>
      <c r="H355" s="12" t="s">
        <v>13</v>
      </c>
      <c r="I355" s="3"/>
      <c r="J355" s="3"/>
      <c r="K355" s="3"/>
      <c r="L355" s="3"/>
      <c r="M355" s="3"/>
      <c r="N355" s="3"/>
      <c r="O355" s="3"/>
      <c r="P355" s="3"/>
      <c r="Q355" s="3"/>
    </row>
    <row r="356" ht="15.75" customHeight="1">
      <c r="A356" s="10">
        <v>355.0</v>
      </c>
      <c r="B356" s="3" t="s">
        <v>1089</v>
      </c>
      <c r="C356" s="3" t="s">
        <v>1090</v>
      </c>
      <c r="D356" s="3" t="s">
        <v>1091</v>
      </c>
      <c r="E356" s="10">
        <v>5.70056378567E11</v>
      </c>
      <c r="F356" s="3" t="s">
        <v>1092</v>
      </c>
      <c r="G356" s="3" t="s">
        <v>12</v>
      </c>
      <c r="H356" s="12" t="s">
        <v>13</v>
      </c>
      <c r="I356" s="3"/>
      <c r="J356" s="3"/>
      <c r="K356" s="3"/>
      <c r="L356" s="3"/>
      <c r="M356" s="3"/>
      <c r="N356" s="3"/>
      <c r="O356" s="3"/>
      <c r="P356" s="3"/>
      <c r="Q356" s="3"/>
    </row>
    <row r="357" ht="15.75" customHeight="1">
      <c r="A357" s="10">
        <v>356.0</v>
      </c>
      <c r="B357" s="3" t="s">
        <v>1013</v>
      </c>
      <c r="C357" s="3" t="s">
        <v>1093</v>
      </c>
      <c r="D357" s="3" t="s">
        <v>959</v>
      </c>
      <c r="E357" s="8">
        <v>5.70056378568E11</v>
      </c>
      <c r="F357" s="3" t="s">
        <v>1094</v>
      </c>
      <c r="G357" s="3" t="s">
        <v>12</v>
      </c>
      <c r="H357" s="12" t="s">
        <v>13</v>
      </c>
      <c r="I357" s="3"/>
      <c r="J357" s="3"/>
      <c r="K357" s="3"/>
      <c r="L357" s="3"/>
      <c r="M357" s="3"/>
      <c r="N357" s="3"/>
      <c r="O357" s="3"/>
      <c r="P357" s="3"/>
      <c r="Q357" s="3"/>
    </row>
    <row r="358" ht="15.75" customHeight="1">
      <c r="A358" s="10">
        <v>357.0</v>
      </c>
      <c r="B358" s="3" t="s">
        <v>1095</v>
      </c>
      <c r="C358" s="3" t="s">
        <v>1096</v>
      </c>
      <c r="D358" s="3" t="s">
        <v>1097</v>
      </c>
      <c r="E358" s="10">
        <v>5.70056378569E11</v>
      </c>
      <c r="F358" s="3" t="s">
        <v>1098</v>
      </c>
      <c r="G358" s="3" t="s">
        <v>12</v>
      </c>
      <c r="H358" s="12" t="s">
        <v>13</v>
      </c>
      <c r="I358" s="3"/>
      <c r="J358" s="3"/>
      <c r="K358" s="3"/>
      <c r="L358" s="3"/>
      <c r="M358" s="3"/>
      <c r="N358" s="3"/>
      <c r="O358" s="3"/>
      <c r="P358" s="3"/>
      <c r="Q358" s="3"/>
    </row>
    <row r="359" ht="15.75" customHeight="1">
      <c r="A359" s="10">
        <v>358.0</v>
      </c>
      <c r="B359" s="3" t="s">
        <v>1099</v>
      </c>
      <c r="C359" s="3" t="s">
        <v>1100</v>
      </c>
      <c r="D359" s="3" t="s">
        <v>1101</v>
      </c>
      <c r="E359" s="10">
        <v>5.7005637857E11</v>
      </c>
      <c r="F359" s="3" t="s">
        <v>1102</v>
      </c>
      <c r="G359" s="3" t="s">
        <v>12</v>
      </c>
      <c r="H359" s="12" t="s">
        <v>13</v>
      </c>
      <c r="I359" s="3"/>
      <c r="J359" s="3"/>
      <c r="K359" s="3"/>
      <c r="L359" s="3"/>
      <c r="M359" s="3"/>
      <c r="N359" s="3"/>
      <c r="O359" s="3"/>
      <c r="P359" s="3"/>
      <c r="Q359" s="3"/>
    </row>
    <row r="360" ht="15.75" customHeight="1">
      <c r="A360" s="10">
        <v>359.0</v>
      </c>
      <c r="B360" s="3" t="s">
        <v>1103</v>
      </c>
      <c r="C360" s="3" t="s">
        <v>1104</v>
      </c>
      <c r="D360" s="3" t="s">
        <v>1105</v>
      </c>
      <c r="E360" s="10">
        <v>5.70056378572E11</v>
      </c>
      <c r="F360" s="3" t="s">
        <v>1106</v>
      </c>
      <c r="G360" s="3" t="s">
        <v>12</v>
      </c>
      <c r="H360" s="12" t="s">
        <v>13</v>
      </c>
      <c r="I360" s="3"/>
      <c r="J360" s="3"/>
      <c r="K360" s="3"/>
      <c r="L360" s="3"/>
      <c r="M360" s="3"/>
      <c r="N360" s="3"/>
      <c r="O360" s="3"/>
      <c r="P360" s="3"/>
      <c r="Q360" s="3"/>
    </row>
    <row r="361" ht="15.75" customHeight="1">
      <c r="A361" s="10">
        <v>360.0</v>
      </c>
      <c r="B361" s="3" t="s">
        <v>787</v>
      </c>
      <c r="C361" s="3" t="s">
        <v>1107</v>
      </c>
      <c r="D361" s="3" t="s">
        <v>816</v>
      </c>
      <c r="E361" s="8">
        <v>5.70056378573E11</v>
      </c>
      <c r="F361" s="3" t="s">
        <v>1108</v>
      </c>
      <c r="G361" s="3" t="s">
        <v>12</v>
      </c>
      <c r="H361" s="12" t="s">
        <v>13</v>
      </c>
      <c r="I361" s="3"/>
      <c r="J361" s="3"/>
      <c r="K361" s="3"/>
      <c r="L361" s="3"/>
      <c r="M361" s="3"/>
      <c r="N361" s="3"/>
      <c r="O361" s="3"/>
      <c r="P361" s="3"/>
      <c r="Q361" s="3"/>
    </row>
    <row r="362" ht="15.75" customHeight="1">
      <c r="A362" s="10">
        <v>361.0</v>
      </c>
      <c r="B362" s="3" t="s">
        <v>205</v>
      </c>
      <c r="C362" s="3" t="s">
        <v>982</v>
      </c>
      <c r="D362" s="3" t="s">
        <v>1109</v>
      </c>
      <c r="E362" s="10">
        <v>5.70056378574E11</v>
      </c>
      <c r="F362" s="3" t="s">
        <v>1110</v>
      </c>
      <c r="G362" s="3" t="s">
        <v>12</v>
      </c>
      <c r="H362" s="12" t="s">
        <v>13</v>
      </c>
      <c r="I362" s="3"/>
      <c r="J362" s="3"/>
      <c r="K362" s="3"/>
      <c r="L362" s="3"/>
      <c r="M362" s="3"/>
      <c r="N362" s="3"/>
      <c r="O362" s="3"/>
      <c r="P362" s="3"/>
      <c r="Q362" s="3"/>
    </row>
    <row r="363" ht="15.75" customHeight="1">
      <c r="A363" s="10">
        <v>362.0</v>
      </c>
      <c r="B363" s="3" t="s">
        <v>1111</v>
      </c>
      <c r="C363" s="3" t="s">
        <v>1112</v>
      </c>
      <c r="D363" s="3" t="s">
        <v>1105</v>
      </c>
      <c r="E363" s="10">
        <v>5.70056378577E11</v>
      </c>
      <c r="F363" s="3" t="s">
        <v>1113</v>
      </c>
      <c r="G363" s="3" t="s">
        <v>12</v>
      </c>
      <c r="H363" s="12" t="s">
        <v>13</v>
      </c>
      <c r="I363" s="3"/>
      <c r="J363" s="3"/>
      <c r="K363" s="3"/>
      <c r="L363" s="3"/>
      <c r="M363" s="3"/>
      <c r="N363" s="3"/>
      <c r="O363" s="3"/>
      <c r="P363" s="3"/>
      <c r="Q363" s="3"/>
    </row>
    <row r="364" ht="15.75" customHeight="1">
      <c r="A364" s="10">
        <v>363.0</v>
      </c>
      <c r="B364" s="3" t="s">
        <v>1114</v>
      </c>
      <c r="C364" s="3" t="s">
        <v>1115</v>
      </c>
      <c r="D364" s="3" t="s">
        <v>1116</v>
      </c>
      <c r="E364" s="10">
        <v>5.70056378578E11</v>
      </c>
      <c r="F364" s="3" t="s">
        <v>1117</v>
      </c>
      <c r="G364" s="3" t="s">
        <v>12</v>
      </c>
      <c r="H364" s="12" t="s">
        <v>13</v>
      </c>
      <c r="I364" s="3"/>
      <c r="J364" s="3"/>
      <c r="K364" s="3"/>
      <c r="L364" s="3"/>
      <c r="M364" s="3"/>
      <c r="N364" s="3"/>
      <c r="O364" s="3"/>
      <c r="P364" s="3"/>
      <c r="Q364" s="3"/>
    </row>
    <row r="365" ht="15.75" customHeight="1">
      <c r="A365" s="10">
        <v>364.0</v>
      </c>
      <c r="B365" s="3" t="s">
        <v>1118</v>
      </c>
      <c r="C365" s="3" t="s">
        <v>1119</v>
      </c>
      <c r="D365" s="3" t="s">
        <v>1120</v>
      </c>
      <c r="E365" s="10">
        <v>5.70056378579E11</v>
      </c>
      <c r="F365" s="3" t="s">
        <v>1121</v>
      </c>
      <c r="G365" s="3" t="s">
        <v>12</v>
      </c>
      <c r="H365" s="12" t="s">
        <v>13</v>
      </c>
      <c r="I365" s="3"/>
      <c r="J365" s="3"/>
      <c r="K365" s="3"/>
      <c r="L365" s="3"/>
      <c r="M365" s="3"/>
      <c r="N365" s="3"/>
      <c r="O365" s="3"/>
      <c r="P365" s="3"/>
      <c r="Q365" s="3"/>
    </row>
    <row r="366" ht="15.75" customHeight="1">
      <c r="A366" s="10">
        <v>365.0</v>
      </c>
      <c r="B366" s="3" t="s">
        <v>1122</v>
      </c>
      <c r="C366" s="3" t="s">
        <v>1123</v>
      </c>
      <c r="D366" s="3" t="s">
        <v>1124</v>
      </c>
      <c r="E366" s="10">
        <v>5.70056378581E11</v>
      </c>
      <c r="F366" s="3" t="s">
        <v>953</v>
      </c>
      <c r="G366" s="3" t="s">
        <v>12</v>
      </c>
      <c r="H366" s="12" t="s">
        <v>13</v>
      </c>
      <c r="I366" s="3"/>
      <c r="J366" s="3"/>
      <c r="K366" s="3"/>
      <c r="L366" s="3"/>
      <c r="M366" s="3"/>
      <c r="N366" s="3"/>
      <c r="O366" s="3"/>
      <c r="P366" s="3"/>
      <c r="Q366" s="3"/>
    </row>
    <row r="367" ht="15.75" customHeight="1">
      <c r="A367" s="10">
        <v>366.0</v>
      </c>
      <c r="B367" s="3" t="s">
        <v>1125</v>
      </c>
      <c r="C367" s="3" t="s">
        <v>849</v>
      </c>
      <c r="D367" s="3" t="s">
        <v>850</v>
      </c>
      <c r="E367" s="10">
        <v>5.70056378583E11</v>
      </c>
      <c r="F367" s="3" t="s">
        <v>1126</v>
      </c>
      <c r="G367" s="3" t="s">
        <v>12</v>
      </c>
      <c r="H367" s="12" t="s">
        <v>13</v>
      </c>
      <c r="I367" s="3"/>
      <c r="J367" s="3"/>
      <c r="K367" s="3"/>
      <c r="L367" s="3"/>
      <c r="M367" s="3"/>
      <c r="N367" s="3"/>
      <c r="O367" s="3"/>
      <c r="P367" s="3"/>
      <c r="Q367" s="3"/>
    </row>
    <row r="368" ht="15.75" customHeight="1">
      <c r="A368" s="10">
        <v>367.0</v>
      </c>
      <c r="B368" s="3" t="s">
        <v>1127</v>
      </c>
      <c r="C368" s="3" t="s">
        <v>1128</v>
      </c>
      <c r="D368" s="3" t="s">
        <v>1129</v>
      </c>
      <c r="E368" s="10">
        <v>5.70056378584E11</v>
      </c>
      <c r="F368" s="3" t="s">
        <v>1130</v>
      </c>
      <c r="G368" s="3" t="s">
        <v>12</v>
      </c>
      <c r="H368" s="12" t="s">
        <v>13</v>
      </c>
      <c r="I368" s="3"/>
      <c r="J368" s="3"/>
      <c r="K368" s="3"/>
      <c r="L368" s="3"/>
      <c r="M368" s="3"/>
      <c r="N368" s="3"/>
      <c r="O368" s="3"/>
      <c r="P368" s="3"/>
      <c r="Q368" s="3"/>
    </row>
    <row r="369" ht="15.75" customHeight="1">
      <c r="A369" s="10">
        <v>368.0</v>
      </c>
      <c r="B369" s="3" t="s">
        <v>1131</v>
      </c>
      <c r="C369" s="3" t="s">
        <v>853</v>
      </c>
      <c r="D369" s="3" t="s">
        <v>325</v>
      </c>
      <c r="E369" s="10">
        <v>5.70056378585E11</v>
      </c>
      <c r="F369" s="3" t="s">
        <v>1132</v>
      </c>
      <c r="G369" s="3" t="s">
        <v>12</v>
      </c>
      <c r="H369" s="12" t="s">
        <v>13</v>
      </c>
      <c r="I369" s="3"/>
      <c r="J369" s="3"/>
      <c r="K369" s="3"/>
      <c r="L369" s="3"/>
      <c r="M369" s="3"/>
      <c r="N369" s="3"/>
      <c r="O369" s="3"/>
      <c r="P369" s="3"/>
      <c r="Q369" s="3"/>
    </row>
    <row r="370" ht="15.75" customHeight="1">
      <c r="A370" s="10">
        <v>369.0</v>
      </c>
      <c r="B370" s="3" t="s">
        <v>1133</v>
      </c>
      <c r="C370" s="3" t="s">
        <v>1134</v>
      </c>
      <c r="D370" s="3" t="s">
        <v>1135</v>
      </c>
      <c r="E370" s="10">
        <v>5.70056378586E11</v>
      </c>
      <c r="F370" s="3" t="s">
        <v>1136</v>
      </c>
      <c r="G370" s="3" t="s">
        <v>12</v>
      </c>
      <c r="H370" s="12" t="s">
        <v>13</v>
      </c>
      <c r="I370" s="3"/>
      <c r="J370" s="3"/>
      <c r="K370" s="3"/>
      <c r="L370" s="3"/>
      <c r="M370" s="3"/>
      <c r="N370" s="3"/>
      <c r="O370" s="3"/>
      <c r="P370" s="3"/>
      <c r="Q370" s="3"/>
    </row>
    <row r="371" ht="15.75" customHeight="1">
      <c r="A371" s="10">
        <v>370.0</v>
      </c>
      <c r="B371" s="3" t="s">
        <v>1137</v>
      </c>
      <c r="C371" s="3" t="s">
        <v>946</v>
      </c>
      <c r="D371" s="3" t="s">
        <v>874</v>
      </c>
      <c r="E371" s="10">
        <v>5.70056378587E11</v>
      </c>
      <c r="F371" s="3" t="s">
        <v>1138</v>
      </c>
      <c r="G371" s="3" t="s">
        <v>62</v>
      </c>
      <c r="H371" s="12" t="s">
        <v>13</v>
      </c>
      <c r="I371" s="3"/>
      <c r="J371" s="3"/>
      <c r="K371" s="3"/>
      <c r="L371" s="3"/>
      <c r="M371" s="3"/>
      <c r="N371" s="3"/>
      <c r="O371" s="3"/>
      <c r="P371" s="3"/>
      <c r="Q371" s="3"/>
    </row>
    <row r="372" ht="15.75" customHeight="1">
      <c r="A372" s="10">
        <v>371.0</v>
      </c>
      <c r="B372" s="3" t="s">
        <v>1139</v>
      </c>
      <c r="C372" s="3" t="s">
        <v>1140</v>
      </c>
      <c r="D372" s="3" t="s">
        <v>846</v>
      </c>
      <c r="E372" s="10">
        <v>5.70056378588E11</v>
      </c>
      <c r="F372" s="3" t="s">
        <v>1141</v>
      </c>
      <c r="G372" s="3" t="s">
        <v>12</v>
      </c>
      <c r="H372" s="12" t="s">
        <v>13</v>
      </c>
      <c r="I372" s="3"/>
      <c r="J372" s="3"/>
      <c r="K372" s="3"/>
      <c r="L372" s="3"/>
      <c r="M372" s="3"/>
      <c r="N372" s="3"/>
      <c r="O372" s="3"/>
      <c r="P372" s="3"/>
      <c r="Q372" s="3"/>
    </row>
    <row r="373" ht="15.75" customHeight="1">
      <c r="A373" s="10">
        <v>372.0</v>
      </c>
      <c r="B373" s="3" t="s">
        <v>1142</v>
      </c>
      <c r="C373" s="3" t="s">
        <v>1115</v>
      </c>
      <c r="D373" s="3" t="s">
        <v>1116</v>
      </c>
      <c r="E373" s="10">
        <v>5.70056378592E11</v>
      </c>
      <c r="F373" s="3" t="s">
        <v>1143</v>
      </c>
      <c r="G373" s="3" t="s">
        <v>12</v>
      </c>
      <c r="H373" s="12" t="s">
        <v>13</v>
      </c>
      <c r="I373" s="3"/>
      <c r="J373" s="3"/>
      <c r="K373" s="3"/>
      <c r="L373" s="3"/>
      <c r="M373" s="3"/>
      <c r="N373" s="3"/>
      <c r="O373" s="3"/>
      <c r="P373" s="3"/>
      <c r="Q373" s="3"/>
    </row>
    <row r="374" ht="15.75" customHeight="1">
      <c r="A374" s="10">
        <v>373.0</v>
      </c>
      <c r="B374" s="3" t="s">
        <v>1144</v>
      </c>
      <c r="C374" s="3" t="s">
        <v>1145</v>
      </c>
      <c r="D374" s="3" t="s">
        <v>959</v>
      </c>
      <c r="E374" s="10">
        <v>5.70056378594E11</v>
      </c>
      <c r="F374" s="3" t="s">
        <v>1110</v>
      </c>
      <c r="G374" s="3" t="s">
        <v>12</v>
      </c>
      <c r="H374" s="12" t="s">
        <v>13</v>
      </c>
      <c r="I374" s="3"/>
      <c r="J374" s="3"/>
      <c r="K374" s="3"/>
      <c r="L374" s="3"/>
      <c r="M374" s="3"/>
      <c r="N374" s="3"/>
      <c r="O374" s="3"/>
      <c r="P374" s="3"/>
      <c r="Q374" s="3"/>
    </row>
    <row r="375" ht="15.75" customHeight="1">
      <c r="A375" s="10">
        <v>374.0</v>
      </c>
      <c r="B375" s="3" t="s">
        <v>1146</v>
      </c>
      <c r="C375" s="3" t="s">
        <v>1147</v>
      </c>
      <c r="D375" s="3" t="s">
        <v>726</v>
      </c>
      <c r="E375" s="10">
        <v>5.70056378595E11</v>
      </c>
      <c r="F375" s="3" t="s">
        <v>1148</v>
      </c>
      <c r="G375" s="3" t="s">
        <v>12</v>
      </c>
      <c r="H375" s="12" t="s">
        <v>13</v>
      </c>
      <c r="I375" s="3"/>
      <c r="J375" s="3"/>
      <c r="K375" s="3"/>
      <c r="L375" s="3"/>
      <c r="M375" s="3"/>
      <c r="N375" s="3"/>
      <c r="O375" s="3"/>
      <c r="P375" s="3"/>
      <c r="Q375" s="3"/>
    </row>
    <row r="376" ht="15.75" customHeight="1">
      <c r="A376" s="10">
        <v>375.0</v>
      </c>
      <c r="B376" s="3" t="s">
        <v>1149</v>
      </c>
      <c r="C376" s="3" t="s">
        <v>1150</v>
      </c>
      <c r="D376" s="3" t="s">
        <v>1151</v>
      </c>
      <c r="E376" s="10">
        <v>5.70056378597E11</v>
      </c>
      <c r="F376" s="3" t="s">
        <v>1152</v>
      </c>
      <c r="G376" s="3" t="s">
        <v>12</v>
      </c>
      <c r="H376" s="12" t="s">
        <v>13</v>
      </c>
      <c r="I376" s="3"/>
      <c r="J376" s="3"/>
      <c r="K376" s="3"/>
      <c r="L376" s="3"/>
      <c r="M376" s="3"/>
      <c r="N376" s="3"/>
      <c r="O376" s="3"/>
      <c r="P376" s="3"/>
      <c r="Q376" s="3"/>
    </row>
    <row r="377" ht="15.75" customHeight="1">
      <c r="A377" s="10">
        <v>376.0</v>
      </c>
      <c r="B377" s="3" t="s">
        <v>124</v>
      </c>
      <c r="C377" s="3" t="s">
        <v>1147</v>
      </c>
      <c r="D377" s="3" t="s">
        <v>466</v>
      </c>
      <c r="E377" s="10">
        <v>5.70056378598E11</v>
      </c>
      <c r="F377" s="3" t="s">
        <v>1153</v>
      </c>
      <c r="G377" s="3" t="s">
        <v>12</v>
      </c>
      <c r="H377" s="12" t="s">
        <v>13</v>
      </c>
      <c r="I377" s="3"/>
      <c r="J377" s="3"/>
      <c r="K377" s="3"/>
      <c r="L377" s="3"/>
      <c r="M377" s="3"/>
      <c r="N377" s="3"/>
      <c r="O377" s="3"/>
      <c r="P377" s="3"/>
      <c r="Q377" s="3"/>
    </row>
    <row r="378" ht="15.75" customHeight="1">
      <c r="A378" s="10">
        <v>377.0</v>
      </c>
      <c r="B378" s="3" t="s">
        <v>9</v>
      </c>
      <c r="C378" s="3" t="s">
        <v>1154</v>
      </c>
      <c r="D378" s="3" t="s">
        <v>1155</v>
      </c>
      <c r="E378" s="10">
        <v>5.70056378599E11</v>
      </c>
      <c r="F378" s="3" t="s">
        <v>1156</v>
      </c>
      <c r="G378" s="3" t="s">
        <v>12</v>
      </c>
      <c r="H378" s="12" t="s">
        <v>13</v>
      </c>
      <c r="I378" s="3"/>
      <c r="J378" s="3"/>
      <c r="K378" s="3"/>
      <c r="L378" s="3"/>
      <c r="M378" s="3"/>
      <c r="N378" s="3"/>
      <c r="O378" s="3"/>
      <c r="P378" s="3"/>
      <c r="Q378" s="3"/>
    </row>
    <row r="379" ht="15.75" customHeight="1">
      <c r="A379" s="10">
        <v>378.0</v>
      </c>
      <c r="B379" s="3" t="s">
        <v>1157</v>
      </c>
      <c r="C379" s="3" t="s">
        <v>1158</v>
      </c>
      <c r="D379" s="3" t="s">
        <v>248</v>
      </c>
      <c r="E379" s="10">
        <v>5.700563786E11</v>
      </c>
      <c r="F379" s="3" t="s">
        <v>1159</v>
      </c>
      <c r="G379" s="3" t="s">
        <v>12</v>
      </c>
      <c r="H379" s="12" t="s">
        <v>13</v>
      </c>
      <c r="I379" s="3"/>
      <c r="J379" s="3"/>
      <c r="K379" s="3"/>
      <c r="L379" s="3"/>
      <c r="M379" s="3"/>
      <c r="N379" s="3"/>
      <c r="O379" s="3"/>
      <c r="P379" s="3"/>
      <c r="Q379" s="3"/>
    </row>
    <row r="380" ht="15.75" customHeight="1">
      <c r="A380" s="10">
        <v>379.0</v>
      </c>
      <c r="B380" s="3" t="s">
        <v>1160</v>
      </c>
      <c r="C380" s="3" t="s">
        <v>1161</v>
      </c>
      <c r="D380" s="3" t="s">
        <v>1162</v>
      </c>
      <c r="E380" s="10">
        <v>5.70056378601E11</v>
      </c>
      <c r="F380" s="3" t="s">
        <v>1163</v>
      </c>
      <c r="G380" s="3" t="s">
        <v>37</v>
      </c>
      <c r="H380" s="12" t="s">
        <v>1164</v>
      </c>
      <c r="I380" s="3"/>
      <c r="J380" s="3"/>
      <c r="K380" s="3"/>
      <c r="L380" s="3"/>
      <c r="M380" s="3"/>
      <c r="N380" s="3"/>
      <c r="O380" s="3"/>
      <c r="P380" s="3"/>
      <c r="Q380" s="3"/>
    </row>
    <row r="381" ht="15.75" customHeight="1">
      <c r="A381" s="10">
        <v>380.0</v>
      </c>
      <c r="B381" s="3" t="s">
        <v>1165</v>
      </c>
      <c r="C381" s="3" t="s">
        <v>1166</v>
      </c>
      <c r="D381" s="3" t="s">
        <v>1167</v>
      </c>
      <c r="E381" s="10">
        <v>5.70056378604E11</v>
      </c>
      <c r="F381" s="3" t="s">
        <v>1168</v>
      </c>
      <c r="G381" s="3" t="s">
        <v>197</v>
      </c>
      <c r="H381" s="12" t="s">
        <v>1169</v>
      </c>
      <c r="I381" s="3"/>
      <c r="J381" s="3"/>
      <c r="K381" s="3"/>
      <c r="L381" s="3"/>
      <c r="M381" s="3"/>
      <c r="N381" s="3"/>
      <c r="O381" s="3"/>
      <c r="P381" s="3"/>
      <c r="Q381" s="3"/>
    </row>
    <row r="382" ht="15.75" customHeight="1">
      <c r="A382" s="10">
        <v>381.0</v>
      </c>
      <c r="B382" s="9" t="s">
        <v>1170</v>
      </c>
      <c r="C382" s="3" t="s">
        <v>1171</v>
      </c>
      <c r="D382" s="3" t="s">
        <v>1172</v>
      </c>
      <c r="E382" s="10">
        <v>5.70056378605E11</v>
      </c>
      <c r="F382" s="3" t="s">
        <v>183</v>
      </c>
      <c r="G382" s="3" t="s">
        <v>12</v>
      </c>
      <c r="H382" s="12" t="s">
        <v>13</v>
      </c>
      <c r="I382" s="3"/>
      <c r="J382" s="3"/>
      <c r="K382" s="3"/>
      <c r="L382" s="3"/>
      <c r="M382" s="3"/>
      <c r="N382" s="3"/>
      <c r="O382" s="3"/>
      <c r="P382" s="3"/>
      <c r="Q382" s="3"/>
    </row>
    <row r="383" ht="15.75" customHeight="1">
      <c r="A383" s="10">
        <v>382.0</v>
      </c>
      <c r="B383" s="3" t="s">
        <v>90</v>
      </c>
      <c r="C383" s="3" t="s">
        <v>1173</v>
      </c>
      <c r="D383" s="3" t="s">
        <v>1174</v>
      </c>
      <c r="E383" s="10">
        <v>5.70056378606E11</v>
      </c>
      <c r="F383" s="3" t="s">
        <v>1175</v>
      </c>
      <c r="G383" s="3" t="s">
        <v>37</v>
      </c>
      <c r="H383" s="12" t="s">
        <v>1164</v>
      </c>
      <c r="I383" s="3"/>
      <c r="J383" s="3"/>
      <c r="K383" s="3" t="s">
        <v>89</v>
      </c>
      <c r="L383" s="3"/>
      <c r="M383" s="3"/>
      <c r="N383" s="3"/>
      <c r="O383" s="3"/>
      <c r="P383" s="3"/>
      <c r="Q383" s="3"/>
    </row>
    <row r="384" ht="15.75" customHeight="1">
      <c r="A384" s="10">
        <v>383.0</v>
      </c>
      <c r="B384" s="3" t="s">
        <v>1176</v>
      </c>
      <c r="C384" s="3" t="s">
        <v>1177</v>
      </c>
      <c r="D384" s="3" t="s">
        <v>329</v>
      </c>
      <c r="E384" s="10">
        <v>5.7005637861E11</v>
      </c>
      <c r="F384" s="3" t="s">
        <v>1178</v>
      </c>
      <c r="G384" s="3" t="s">
        <v>37</v>
      </c>
      <c r="H384" s="12" t="s">
        <v>1169</v>
      </c>
      <c r="I384" s="3"/>
      <c r="J384" s="3"/>
      <c r="K384" s="3"/>
      <c r="L384" s="3"/>
      <c r="M384" s="3"/>
      <c r="N384" s="3"/>
      <c r="O384" s="3"/>
      <c r="P384" s="3"/>
      <c r="Q384" s="3"/>
    </row>
    <row r="385" ht="15.75" customHeight="1">
      <c r="A385" s="10">
        <v>384.0</v>
      </c>
      <c r="B385" s="3" t="s">
        <v>1017</v>
      </c>
      <c r="C385" s="3" t="s">
        <v>324</v>
      </c>
      <c r="D385" s="3" t="s">
        <v>1179</v>
      </c>
      <c r="E385" s="10">
        <v>5.70056378611E11</v>
      </c>
      <c r="F385" s="3" t="s">
        <v>1180</v>
      </c>
      <c r="G385" s="3" t="s">
        <v>12</v>
      </c>
      <c r="H385" s="12" t="s">
        <v>1169</v>
      </c>
      <c r="I385" s="3"/>
      <c r="J385" s="3"/>
      <c r="K385" s="3"/>
      <c r="L385" s="3"/>
      <c r="M385" s="3"/>
      <c r="N385" s="3"/>
      <c r="O385" s="3"/>
      <c r="P385" s="3"/>
      <c r="Q385" s="3"/>
    </row>
    <row r="386" ht="15.75" customHeight="1">
      <c r="A386" s="10">
        <v>385.0</v>
      </c>
      <c r="B386" s="3" t="s">
        <v>128</v>
      </c>
      <c r="C386" s="3" t="s">
        <v>1181</v>
      </c>
      <c r="D386" s="3" t="s">
        <v>1182</v>
      </c>
      <c r="E386" s="10">
        <v>5.70056378612E11</v>
      </c>
      <c r="F386" s="3" t="s">
        <v>1183</v>
      </c>
      <c r="G386" s="3" t="s">
        <v>12</v>
      </c>
      <c r="H386" s="12" t="s">
        <v>1164</v>
      </c>
      <c r="I386" s="3"/>
      <c r="J386" s="3"/>
      <c r="K386" s="3"/>
      <c r="L386" s="3"/>
      <c r="M386" s="3"/>
      <c r="N386" s="3"/>
      <c r="O386" s="3"/>
      <c r="P386" s="3"/>
      <c r="Q386" s="3"/>
    </row>
    <row r="387" ht="15.75" customHeight="1">
      <c r="A387" s="10">
        <v>386.0</v>
      </c>
      <c r="B387" s="3" t="s">
        <v>1184</v>
      </c>
      <c r="C387" s="3" t="s">
        <v>1185</v>
      </c>
      <c r="D387" s="3" t="s">
        <v>48</v>
      </c>
      <c r="E387" s="10">
        <v>5.70056378613E11</v>
      </c>
      <c r="F387" s="3" t="s">
        <v>1186</v>
      </c>
      <c r="G387" s="3" t="s">
        <v>12</v>
      </c>
      <c r="H387" s="12" t="s">
        <v>13</v>
      </c>
      <c r="I387" s="3"/>
      <c r="J387" s="3"/>
      <c r="K387" s="3"/>
      <c r="L387" s="3"/>
      <c r="M387" s="3"/>
      <c r="N387" s="3"/>
      <c r="O387" s="3"/>
      <c r="P387" s="3"/>
      <c r="Q387" s="3"/>
    </row>
    <row r="388" ht="15.75" customHeight="1">
      <c r="A388" s="10">
        <v>387.0</v>
      </c>
      <c r="B388" s="3" t="s">
        <v>1187</v>
      </c>
      <c r="C388" s="3" t="s">
        <v>1188</v>
      </c>
      <c r="D388" s="3" t="s">
        <v>1189</v>
      </c>
      <c r="E388" s="10">
        <v>5.7005637862E11</v>
      </c>
      <c r="F388" s="3" t="s">
        <v>1190</v>
      </c>
      <c r="G388" s="3" t="s">
        <v>12</v>
      </c>
      <c r="H388" s="12" t="s">
        <v>13</v>
      </c>
      <c r="I388" s="3"/>
      <c r="J388" s="3"/>
      <c r="K388" s="3"/>
      <c r="L388" s="3"/>
      <c r="M388" s="3"/>
      <c r="N388" s="3"/>
      <c r="O388" s="3"/>
      <c r="P388" s="3"/>
      <c r="Q388" s="3"/>
    </row>
    <row r="389" ht="15.75" customHeight="1">
      <c r="A389" s="10">
        <v>388.0</v>
      </c>
      <c r="B389" s="3" t="s">
        <v>90</v>
      </c>
      <c r="C389" s="3" t="s">
        <v>1191</v>
      </c>
      <c r="D389" s="3" t="s">
        <v>1192</v>
      </c>
      <c r="E389" s="10">
        <v>5.70056378621E11</v>
      </c>
      <c r="F389" s="3" t="s">
        <v>1193</v>
      </c>
      <c r="G389" s="3" t="s">
        <v>12</v>
      </c>
      <c r="H389" s="12" t="s">
        <v>1169</v>
      </c>
      <c r="I389" s="3"/>
      <c r="J389" s="3"/>
      <c r="K389" s="3"/>
      <c r="L389" s="3"/>
      <c r="M389" s="3"/>
      <c r="N389" s="3"/>
      <c r="O389" s="3"/>
      <c r="P389" s="3"/>
      <c r="Q389" s="3"/>
    </row>
    <row r="390" ht="15.75" customHeight="1">
      <c r="A390" s="10">
        <v>389.0</v>
      </c>
      <c r="B390" s="3" t="s">
        <v>1194</v>
      </c>
      <c r="C390" s="3" t="s">
        <v>199</v>
      </c>
      <c r="D390" s="3" t="s">
        <v>88</v>
      </c>
      <c r="E390" s="10">
        <v>5.70056378623E11</v>
      </c>
      <c r="F390" s="3" t="s">
        <v>1195</v>
      </c>
      <c r="G390" s="3" t="s">
        <v>12</v>
      </c>
      <c r="H390" s="12" t="s">
        <v>13</v>
      </c>
      <c r="I390" s="3"/>
      <c r="J390" s="3"/>
      <c r="K390" s="3"/>
      <c r="L390" s="3"/>
      <c r="M390" s="3"/>
      <c r="N390" s="3"/>
      <c r="O390" s="3"/>
      <c r="P390" s="3"/>
      <c r="Q390" s="3"/>
    </row>
    <row r="391" ht="15.75" customHeight="1">
      <c r="A391" s="10">
        <v>390.0</v>
      </c>
      <c r="B391" s="3" t="s">
        <v>76</v>
      </c>
      <c r="C391" s="3" t="s">
        <v>752</v>
      </c>
      <c r="D391" s="3" t="s">
        <v>1196</v>
      </c>
      <c r="E391" s="10">
        <v>5.70056378625E11</v>
      </c>
      <c r="F391" s="3" t="s">
        <v>1197</v>
      </c>
      <c r="G391" s="3" t="s">
        <v>12</v>
      </c>
      <c r="H391" s="12" t="s">
        <v>13</v>
      </c>
      <c r="I391" s="3"/>
      <c r="J391" s="3"/>
      <c r="K391" s="3"/>
      <c r="L391" s="3"/>
      <c r="M391" s="3"/>
      <c r="N391" s="3"/>
      <c r="O391" s="3"/>
      <c r="P391" s="3"/>
      <c r="Q391" s="3"/>
    </row>
    <row r="392" ht="15.75" customHeight="1">
      <c r="A392" s="10">
        <v>391.0</v>
      </c>
      <c r="B392" s="3" t="s">
        <v>1198</v>
      </c>
      <c r="C392" s="3" t="s">
        <v>199</v>
      </c>
      <c r="D392" s="3" t="s">
        <v>1199</v>
      </c>
      <c r="E392" s="10">
        <v>5.70056378626E11</v>
      </c>
      <c r="F392" s="3" t="s">
        <v>1200</v>
      </c>
      <c r="G392" s="3" t="s">
        <v>12</v>
      </c>
      <c r="H392" s="12" t="s">
        <v>13</v>
      </c>
      <c r="I392" s="3"/>
      <c r="J392" s="3"/>
      <c r="K392" s="3"/>
      <c r="L392" s="3"/>
      <c r="M392" s="3"/>
      <c r="N392" s="3"/>
      <c r="O392" s="3"/>
      <c r="P392" s="3"/>
      <c r="Q392" s="3"/>
    </row>
    <row r="393" ht="15.75" customHeight="1">
      <c r="A393" s="10">
        <v>392.0</v>
      </c>
      <c r="B393" s="3" t="s">
        <v>9</v>
      </c>
      <c r="C393" s="3" t="s">
        <v>1166</v>
      </c>
      <c r="D393" s="3" t="s">
        <v>332</v>
      </c>
      <c r="E393" s="10">
        <v>5.70056378632E11</v>
      </c>
      <c r="F393" s="3" t="s">
        <v>1201</v>
      </c>
      <c r="G393" s="3" t="s">
        <v>12</v>
      </c>
      <c r="H393" s="12" t="s">
        <v>1169</v>
      </c>
      <c r="I393" s="3"/>
      <c r="J393" s="3"/>
      <c r="K393" s="3"/>
      <c r="L393" s="3"/>
      <c r="M393" s="3"/>
      <c r="N393" s="3"/>
      <c r="O393" s="3"/>
      <c r="P393" s="3"/>
      <c r="Q393" s="3"/>
    </row>
    <row r="394" ht="15.75" customHeight="1">
      <c r="A394" s="10">
        <v>393.0</v>
      </c>
      <c r="B394" s="3" t="s">
        <v>521</v>
      </c>
      <c r="C394" s="3" t="s">
        <v>1166</v>
      </c>
      <c r="D394" s="3" t="s">
        <v>332</v>
      </c>
      <c r="E394" s="10">
        <v>5.70056378633E11</v>
      </c>
      <c r="F394" s="3" t="s">
        <v>1202</v>
      </c>
      <c r="G394" s="3" t="s">
        <v>12</v>
      </c>
      <c r="H394" s="12" t="s">
        <v>1169</v>
      </c>
      <c r="I394" s="3"/>
      <c r="J394" s="3"/>
      <c r="K394" s="3"/>
      <c r="L394" s="3"/>
      <c r="M394" s="3"/>
      <c r="N394" s="3"/>
      <c r="O394" s="3"/>
      <c r="P394" s="3"/>
      <c r="Q394" s="3"/>
    </row>
    <row r="395" ht="15.75" customHeight="1">
      <c r="A395" s="10">
        <v>394.0</v>
      </c>
      <c r="B395" s="3" t="s">
        <v>1203</v>
      </c>
      <c r="C395" s="3" t="s">
        <v>148</v>
      </c>
      <c r="D395" s="3" t="s">
        <v>1204</v>
      </c>
      <c r="E395" s="10">
        <v>5.70056378634E11</v>
      </c>
      <c r="F395" s="3" t="s">
        <v>1205</v>
      </c>
      <c r="G395" s="3" t="s">
        <v>37</v>
      </c>
      <c r="H395" s="12" t="s">
        <v>1164</v>
      </c>
      <c r="I395" s="3"/>
      <c r="J395" s="3"/>
      <c r="K395" s="3"/>
      <c r="L395" s="3"/>
      <c r="M395" s="3"/>
      <c r="N395" s="3"/>
      <c r="O395" s="3"/>
      <c r="P395" s="3"/>
      <c r="Q395" s="3"/>
    </row>
    <row r="396" ht="15.75" customHeight="1">
      <c r="A396" s="10">
        <v>395.0</v>
      </c>
      <c r="B396" s="9" t="s">
        <v>1206</v>
      </c>
      <c r="C396" s="3" t="s">
        <v>1207</v>
      </c>
      <c r="D396" s="3" t="s">
        <v>1208</v>
      </c>
      <c r="E396" s="10">
        <v>5.70056378635E11</v>
      </c>
      <c r="F396" s="3" t="s">
        <v>95</v>
      </c>
      <c r="G396" s="3" t="s">
        <v>37</v>
      </c>
      <c r="H396" s="12" t="s">
        <v>13</v>
      </c>
      <c r="I396" s="3"/>
      <c r="J396" s="3"/>
      <c r="K396" s="3"/>
      <c r="L396" s="3"/>
      <c r="M396" s="3"/>
      <c r="N396" s="3"/>
      <c r="O396" s="3"/>
      <c r="P396" s="3"/>
      <c r="Q396" s="3"/>
    </row>
    <row r="397" ht="15.75" customHeight="1">
      <c r="A397" s="10">
        <v>396.0</v>
      </c>
      <c r="B397" s="3" t="s">
        <v>1209</v>
      </c>
      <c r="C397" s="3" t="s">
        <v>1207</v>
      </c>
      <c r="D397" s="3" t="s">
        <v>332</v>
      </c>
      <c r="E397" s="8">
        <v>5.70056378639E11</v>
      </c>
      <c r="F397" s="3" t="s">
        <v>1210</v>
      </c>
      <c r="G397" s="3" t="s">
        <v>12</v>
      </c>
      <c r="H397" s="12" t="s">
        <v>13</v>
      </c>
      <c r="I397" s="3"/>
      <c r="J397" s="3"/>
      <c r="K397" s="3"/>
      <c r="L397" s="3"/>
      <c r="M397" s="3"/>
      <c r="N397" s="3"/>
      <c r="O397" s="3"/>
      <c r="P397" s="3"/>
      <c r="Q397" s="3"/>
    </row>
    <row r="398" ht="15.75" customHeight="1">
      <c r="A398" s="10">
        <v>397.0</v>
      </c>
      <c r="B398" s="3" t="s">
        <v>324</v>
      </c>
      <c r="C398" s="3" t="s">
        <v>1211</v>
      </c>
      <c r="D398" s="3" t="s">
        <v>1212</v>
      </c>
      <c r="E398" s="10">
        <v>5.70056378642E11</v>
      </c>
      <c r="F398" s="3" t="s">
        <v>1213</v>
      </c>
      <c r="G398" s="3" t="s">
        <v>12</v>
      </c>
      <c r="H398" s="12" t="s">
        <v>1169</v>
      </c>
      <c r="I398" s="3"/>
      <c r="J398" s="3"/>
      <c r="K398" s="3"/>
      <c r="L398" s="3"/>
      <c r="M398" s="3"/>
      <c r="N398" s="3"/>
      <c r="O398" s="3"/>
      <c r="P398" s="3"/>
      <c r="Q398" s="3"/>
    </row>
    <row r="399" ht="15.75" customHeight="1">
      <c r="A399" s="10">
        <v>398.0</v>
      </c>
      <c r="B399" s="3" t="s">
        <v>1214</v>
      </c>
      <c r="C399" s="3" t="s">
        <v>1215</v>
      </c>
      <c r="D399" s="3" t="s">
        <v>1216</v>
      </c>
      <c r="E399" s="10">
        <v>5.70056378645E11</v>
      </c>
      <c r="F399" s="3" t="s">
        <v>1217</v>
      </c>
      <c r="G399" s="3" t="s">
        <v>12</v>
      </c>
      <c r="H399" s="12" t="s">
        <v>13</v>
      </c>
      <c r="I399" s="3"/>
      <c r="J399" s="3"/>
      <c r="K399" s="3"/>
      <c r="L399" s="3"/>
      <c r="M399" s="3"/>
      <c r="N399" s="3"/>
      <c r="O399" s="3"/>
      <c r="P399" s="3"/>
      <c r="Q399" s="3"/>
    </row>
    <row r="400" ht="15.75" customHeight="1">
      <c r="A400" s="10">
        <v>399.0</v>
      </c>
      <c r="B400" s="3" t="s">
        <v>1218</v>
      </c>
      <c r="C400" s="3" t="s">
        <v>1219</v>
      </c>
      <c r="D400" s="3" t="s">
        <v>1220</v>
      </c>
      <c r="E400" s="10">
        <v>5.7005637866E11</v>
      </c>
      <c r="F400" s="3" t="s">
        <v>1221</v>
      </c>
      <c r="G400" s="3" t="s">
        <v>12</v>
      </c>
      <c r="H400" s="12" t="s">
        <v>13</v>
      </c>
      <c r="I400" s="3"/>
      <c r="J400" s="3"/>
      <c r="K400" s="3"/>
      <c r="L400" s="3"/>
      <c r="M400" s="3"/>
      <c r="N400" s="3"/>
      <c r="O400" s="3"/>
      <c r="P400" s="3"/>
      <c r="Q400" s="3"/>
    </row>
    <row r="401" ht="15.75" customHeight="1">
      <c r="A401" s="10">
        <v>400.0</v>
      </c>
      <c r="B401" s="3" t="s">
        <v>1222</v>
      </c>
      <c r="C401" s="3" t="s">
        <v>674</v>
      </c>
      <c r="D401" s="3" t="s">
        <v>1223</v>
      </c>
      <c r="E401" s="10">
        <v>5.70056378662E11</v>
      </c>
      <c r="F401" s="3" t="s">
        <v>1224</v>
      </c>
      <c r="G401" s="3" t="s">
        <v>12</v>
      </c>
      <c r="H401" s="12" t="s">
        <v>1169</v>
      </c>
      <c r="I401" s="3"/>
      <c r="J401" s="3"/>
      <c r="K401" s="3"/>
      <c r="L401" s="3"/>
      <c r="M401" s="3"/>
      <c r="N401" s="3"/>
      <c r="O401" s="3"/>
      <c r="P401" s="3"/>
      <c r="Q401" s="3"/>
    </row>
    <row r="402" ht="15.75" customHeight="1">
      <c r="A402" s="10">
        <v>401.0</v>
      </c>
      <c r="B402" s="3" t="s">
        <v>1225</v>
      </c>
      <c r="C402" s="3" t="s">
        <v>1226</v>
      </c>
      <c r="D402" s="3" t="s">
        <v>1192</v>
      </c>
      <c r="E402" s="10">
        <v>5.70056378668E11</v>
      </c>
      <c r="F402" s="3" t="s">
        <v>1227</v>
      </c>
      <c r="G402" s="3" t="s">
        <v>12</v>
      </c>
      <c r="H402" s="12" t="s">
        <v>1169</v>
      </c>
      <c r="I402" s="3"/>
      <c r="J402" s="3"/>
      <c r="K402" s="3"/>
      <c r="L402" s="3"/>
      <c r="M402" s="3"/>
      <c r="N402" s="3"/>
      <c r="O402" s="3"/>
      <c r="P402" s="3"/>
      <c r="Q402" s="3"/>
    </row>
    <row r="403" ht="15.75" customHeight="1">
      <c r="A403" s="10">
        <v>402.0</v>
      </c>
      <c r="B403" s="3" t="s">
        <v>1228</v>
      </c>
      <c r="C403" s="3" t="s">
        <v>1229</v>
      </c>
      <c r="D403" s="3" t="s">
        <v>1230</v>
      </c>
      <c r="E403" s="10">
        <v>5.70056378673E11</v>
      </c>
      <c r="F403" s="3" t="s">
        <v>1231</v>
      </c>
      <c r="G403" s="3" t="s">
        <v>37</v>
      </c>
      <c r="H403" s="12" t="s">
        <v>13</v>
      </c>
      <c r="I403" s="3"/>
      <c r="J403" s="3"/>
      <c r="K403" s="3"/>
      <c r="L403" s="3"/>
      <c r="M403" s="3"/>
      <c r="N403" s="3"/>
      <c r="O403" s="3"/>
      <c r="P403" s="3"/>
      <c r="Q403" s="3"/>
    </row>
    <row r="404" ht="15.75" customHeight="1">
      <c r="A404" s="10">
        <v>403.0</v>
      </c>
      <c r="B404" s="3" t="s">
        <v>1232</v>
      </c>
      <c r="C404" s="3" t="s">
        <v>1233</v>
      </c>
      <c r="D404" s="3" t="s">
        <v>1234</v>
      </c>
      <c r="E404" s="10">
        <v>5.70056378678E11</v>
      </c>
      <c r="F404" s="3" t="s">
        <v>1235</v>
      </c>
      <c r="G404" s="3" t="s">
        <v>12</v>
      </c>
      <c r="H404" s="12" t="s">
        <v>1164</v>
      </c>
      <c r="I404" s="3"/>
      <c r="J404" s="3"/>
      <c r="K404" s="3"/>
      <c r="L404" s="3"/>
      <c r="M404" s="3"/>
      <c r="N404" s="3"/>
      <c r="O404" s="3"/>
      <c r="P404" s="3"/>
      <c r="Q404" s="3"/>
    </row>
    <row r="405" ht="15.75" customHeight="1">
      <c r="A405" s="10">
        <v>404.0</v>
      </c>
      <c r="B405" s="3" t="s">
        <v>1236</v>
      </c>
      <c r="C405" s="3" t="s">
        <v>1237</v>
      </c>
      <c r="D405" s="3" t="s">
        <v>1238</v>
      </c>
      <c r="E405" s="10">
        <v>5.70056378681E11</v>
      </c>
      <c r="F405" s="3" t="s">
        <v>1231</v>
      </c>
      <c r="G405" s="3" t="s">
        <v>12</v>
      </c>
      <c r="H405" s="12" t="s">
        <v>1169</v>
      </c>
      <c r="I405" s="3"/>
      <c r="J405" s="3"/>
      <c r="K405" s="3"/>
      <c r="L405" s="3"/>
      <c r="M405" s="3"/>
      <c r="N405" s="3"/>
      <c r="O405" s="3"/>
      <c r="P405" s="3"/>
      <c r="Q405" s="3"/>
    </row>
    <row r="406" ht="15.75" customHeight="1">
      <c r="A406" s="10">
        <v>405.0</v>
      </c>
      <c r="B406" s="3" t="s">
        <v>202</v>
      </c>
      <c r="C406" s="3" t="s">
        <v>591</v>
      </c>
      <c r="D406" s="3" t="s">
        <v>592</v>
      </c>
      <c r="E406" s="10">
        <v>5.70056378682E11</v>
      </c>
      <c r="F406" s="3" t="s">
        <v>1239</v>
      </c>
      <c r="G406" s="3" t="s">
        <v>12</v>
      </c>
      <c r="H406" s="12" t="s">
        <v>1169</v>
      </c>
      <c r="I406" s="3"/>
      <c r="J406" s="3"/>
      <c r="K406" s="3"/>
      <c r="L406" s="3"/>
      <c r="M406" s="3"/>
      <c r="N406" s="3"/>
      <c r="O406" s="3"/>
      <c r="P406" s="3"/>
      <c r="Q406" s="3"/>
    </row>
    <row r="407" ht="15.75" customHeight="1">
      <c r="A407" s="10">
        <v>406.0</v>
      </c>
      <c r="B407" s="3" t="s">
        <v>1240</v>
      </c>
      <c r="C407" s="3" t="s">
        <v>1241</v>
      </c>
      <c r="D407" s="3" t="s">
        <v>1242</v>
      </c>
      <c r="E407" s="10">
        <v>5.70056378683E11</v>
      </c>
      <c r="F407" s="3" t="s">
        <v>1243</v>
      </c>
      <c r="G407" s="3" t="s">
        <v>37</v>
      </c>
      <c r="H407" s="12" t="s">
        <v>1169</v>
      </c>
      <c r="I407" s="3"/>
      <c r="J407" s="3"/>
      <c r="K407" s="3"/>
      <c r="L407" s="3"/>
      <c r="M407" s="3"/>
      <c r="N407" s="3"/>
      <c r="O407" s="3"/>
      <c r="P407" s="3"/>
      <c r="Q407" s="3"/>
    </row>
    <row r="408" ht="15.75" customHeight="1">
      <c r="A408" s="10">
        <v>407.0</v>
      </c>
      <c r="B408" s="3" t="s">
        <v>205</v>
      </c>
      <c r="C408" s="3" t="s">
        <v>1244</v>
      </c>
      <c r="D408" s="3" t="s">
        <v>1245</v>
      </c>
      <c r="E408" s="10">
        <v>5.70056378684E11</v>
      </c>
      <c r="F408" s="3" t="s">
        <v>1246</v>
      </c>
      <c r="G408" s="3" t="s">
        <v>12</v>
      </c>
      <c r="H408" s="12" t="s">
        <v>13</v>
      </c>
      <c r="I408" s="3"/>
      <c r="J408" s="3"/>
      <c r="K408" s="3"/>
      <c r="L408" s="3"/>
      <c r="M408" s="3"/>
      <c r="N408" s="3"/>
      <c r="O408" s="3"/>
      <c r="P408" s="3"/>
      <c r="Q408" s="3"/>
    </row>
    <row r="409" ht="15.75" customHeight="1">
      <c r="A409" s="10">
        <v>408.0</v>
      </c>
      <c r="B409" s="3" t="s">
        <v>1158</v>
      </c>
      <c r="C409" s="3" t="s">
        <v>1247</v>
      </c>
      <c r="D409" s="3" t="s">
        <v>504</v>
      </c>
      <c r="E409" s="10">
        <v>5.70056378686E11</v>
      </c>
      <c r="F409" s="3" t="s">
        <v>1248</v>
      </c>
      <c r="G409" s="3" t="s">
        <v>12</v>
      </c>
      <c r="H409" s="12" t="s">
        <v>1169</v>
      </c>
      <c r="I409" s="3"/>
      <c r="J409" s="3"/>
      <c r="K409" s="3"/>
      <c r="L409" s="3"/>
      <c r="M409" s="3"/>
      <c r="N409" s="3"/>
      <c r="O409" s="3"/>
      <c r="P409" s="3"/>
      <c r="Q409" s="3"/>
    </row>
    <row r="410" ht="15.75" customHeight="1">
      <c r="A410" s="10">
        <v>409.0</v>
      </c>
      <c r="B410" s="3" t="s">
        <v>1249</v>
      </c>
      <c r="C410" s="3" t="s">
        <v>1250</v>
      </c>
      <c r="D410" s="3" t="s">
        <v>1251</v>
      </c>
      <c r="E410" s="10">
        <v>5.70056378687E11</v>
      </c>
      <c r="F410" s="3" t="s">
        <v>1252</v>
      </c>
      <c r="G410" s="3" t="s">
        <v>12</v>
      </c>
      <c r="H410" s="12" t="s">
        <v>13</v>
      </c>
      <c r="I410" s="3"/>
      <c r="J410" s="3"/>
      <c r="K410" s="3"/>
      <c r="L410" s="3"/>
      <c r="M410" s="3"/>
      <c r="N410" s="3"/>
      <c r="O410" s="3"/>
      <c r="P410" s="3"/>
      <c r="Q410" s="3"/>
    </row>
    <row r="411" ht="15.75" customHeight="1">
      <c r="A411" s="10">
        <v>410.0</v>
      </c>
      <c r="B411" s="3" t="s">
        <v>1161</v>
      </c>
      <c r="C411" s="3" t="s">
        <v>674</v>
      </c>
      <c r="D411" s="3" t="s">
        <v>1253</v>
      </c>
      <c r="E411" s="10">
        <v>5.70056378688E11</v>
      </c>
      <c r="F411" s="3" t="s">
        <v>1254</v>
      </c>
      <c r="G411" s="3" t="s">
        <v>12</v>
      </c>
      <c r="H411" s="12" t="s">
        <v>1169</v>
      </c>
      <c r="I411" s="3"/>
      <c r="J411" s="3"/>
      <c r="K411" s="3"/>
      <c r="L411" s="3"/>
      <c r="M411" s="3"/>
      <c r="N411" s="3"/>
      <c r="O411" s="3"/>
      <c r="P411" s="3"/>
      <c r="Q411" s="3"/>
    </row>
    <row r="412" ht="15.75" customHeight="1">
      <c r="A412" s="10">
        <v>411.0</v>
      </c>
      <c r="B412" s="3" t="s">
        <v>1255</v>
      </c>
      <c r="C412" s="3" t="s">
        <v>1256</v>
      </c>
      <c r="D412" s="3" t="s">
        <v>1257</v>
      </c>
      <c r="E412" s="10">
        <v>5.70056378692E11</v>
      </c>
      <c r="F412" s="3" t="s">
        <v>1258</v>
      </c>
      <c r="G412" s="3" t="s">
        <v>12</v>
      </c>
      <c r="H412" s="12" t="s">
        <v>13</v>
      </c>
      <c r="I412" s="3"/>
      <c r="J412" s="3"/>
      <c r="K412" s="3"/>
      <c r="L412" s="3"/>
      <c r="M412" s="3"/>
      <c r="N412" s="3"/>
      <c r="O412" s="3"/>
      <c r="P412" s="3"/>
      <c r="Q412" s="3"/>
    </row>
    <row r="413" ht="15.75" customHeight="1">
      <c r="A413" s="10">
        <v>412.0</v>
      </c>
      <c r="B413" s="3" t="s">
        <v>106</v>
      </c>
      <c r="C413" s="3" t="s">
        <v>1259</v>
      </c>
      <c r="D413" s="3" t="s">
        <v>216</v>
      </c>
      <c r="E413" s="10">
        <v>5.70056378693E11</v>
      </c>
      <c r="F413" s="3" t="s">
        <v>1260</v>
      </c>
      <c r="G413" s="3" t="s">
        <v>12</v>
      </c>
      <c r="H413" s="12" t="s">
        <v>1169</v>
      </c>
      <c r="I413" s="3"/>
      <c r="J413" s="3"/>
      <c r="K413" s="3"/>
      <c r="L413" s="3"/>
      <c r="M413" s="3"/>
      <c r="N413" s="3"/>
      <c r="O413" s="3"/>
      <c r="P413" s="3"/>
      <c r="Q413" s="3"/>
    </row>
    <row r="414" ht="15.75" customHeight="1">
      <c r="A414" s="10">
        <v>413.0</v>
      </c>
      <c r="B414" s="3" t="s">
        <v>752</v>
      </c>
      <c r="C414" s="3" t="s">
        <v>1261</v>
      </c>
      <c r="D414" s="3" t="s">
        <v>1262</v>
      </c>
      <c r="E414" s="10">
        <v>5.70056378694E11</v>
      </c>
      <c r="F414" s="3" t="s">
        <v>1263</v>
      </c>
      <c r="G414" s="3" t="s">
        <v>12</v>
      </c>
      <c r="H414" s="12" t="s">
        <v>13</v>
      </c>
      <c r="I414" s="3"/>
      <c r="J414" s="3"/>
      <c r="K414" s="3"/>
      <c r="L414" s="3"/>
      <c r="M414" s="3"/>
      <c r="N414" s="3"/>
      <c r="O414" s="3"/>
      <c r="P414" s="3"/>
      <c r="Q414" s="3"/>
    </row>
    <row r="415" ht="15.75" customHeight="1">
      <c r="A415" s="10">
        <v>414.0</v>
      </c>
      <c r="B415" s="3" t="s">
        <v>1264</v>
      </c>
      <c r="C415" s="3" t="s">
        <v>1265</v>
      </c>
      <c r="D415" s="3" t="s">
        <v>48</v>
      </c>
      <c r="E415" s="10">
        <v>5.70056378695E11</v>
      </c>
      <c r="F415" s="3" t="s">
        <v>1266</v>
      </c>
      <c r="G415" s="3" t="s">
        <v>12</v>
      </c>
      <c r="H415" s="12" t="s">
        <v>13</v>
      </c>
      <c r="I415" s="3"/>
      <c r="J415" s="3"/>
      <c r="K415" s="3"/>
      <c r="L415" s="3"/>
      <c r="M415" s="3"/>
      <c r="N415" s="3"/>
      <c r="O415" s="3"/>
      <c r="P415" s="3"/>
      <c r="Q415" s="3"/>
    </row>
    <row r="416" ht="15.75" customHeight="1">
      <c r="A416" s="10">
        <v>415.0</v>
      </c>
      <c r="B416" s="9" t="s">
        <v>1267</v>
      </c>
      <c r="C416" s="3" t="s">
        <v>566</v>
      </c>
      <c r="D416" s="3" t="s">
        <v>1268</v>
      </c>
      <c r="E416" s="10">
        <v>5.70056378696E11</v>
      </c>
      <c r="F416" s="3" t="s">
        <v>1269</v>
      </c>
      <c r="G416" s="3" t="s">
        <v>12</v>
      </c>
      <c r="H416" s="12" t="s">
        <v>1169</v>
      </c>
      <c r="I416" s="3"/>
      <c r="J416" s="3"/>
      <c r="K416" s="3"/>
      <c r="L416" s="3"/>
      <c r="M416" s="3"/>
      <c r="N416" s="3"/>
      <c r="O416" s="3"/>
      <c r="P416" s="3"/>
      <c r="Q416" s="3"/>
    </row>
    <row r="417" ht="15.75" customHeight="1">
      <c r="A417" s="10">
        <v>416.0</v>
      </c>
      <c r="B417" s="3" t="s">
        <v>1270</v>
      </c>
      <c r="C417" s="3" t="s">
        <v>1271</v>
      </c>
      <c r="D417" s="3" t="s">
        <v>1272</v>
      </c>
      <c r="E417" s="10">
        <v>5.70056378698E11</v>
      </c>
      <c r="F417" s="3" t="s">
        <v>1273</v>
      </c>
      <c r="G417" s="3" t="s">
        <v>12</v>
      </c>
      <c r="H417" s="12" t="s">
        <v>1169</v>
      </c>
      <c r="I417" s="3"/>
      <c r="J417" s="3"/>
      <c r="K417" s="3"/>
      <c r="L417" s="3"/>
      <c r="M417" s="3"/>
      <c r="N417" s="3"/>
      <c r="O417" s="3"/>
      <c r="P417" s="3"/>
      <c r="Q417" s="3"/>
    </row>
    <row r="418" ht="15.75" customHeight="1">
      <c r="A418" s="10">
        <v>417.0</v>
      </c>
      <c r="B418" s="3" t="s">
        <v>59</v>
      </c>
      <c r="C418" s="3" t="s">
        <v>1247</v>
      </c>
      <c r="D418" s="3" t="s">
        <v>504</v>
      </c>
      <c r="E418" s="10">
        <v>5.70056378699E11</v>
      </c>
      <c r="F418" s="3" t="s">
        <v>1274</v>
      </c>
      <c r="G418" s="3" t="s">
        <v>12</v>
      </c>
      <c r="H418" s="12" t="s">
        <v>1169</v>
      </c>
      <c r="I418" s="3"/>
      <c r="J418" s="3"/>
      <c r="K418" s="3"/>
      <c r="L418" s="3"/>
      <c r="M418" s="3"/>
      <c r="N418" s="3"/>
      <c r="O418" s="3"/>
      <c r="P418" s="3"/>
      <c r="Q418" s="3"/>
    </row>
    <row r="419" ht="15.75" customHeight="1">
      <c r="A419" s="10">
        <v>418.0</v>
      </c>
      <c r="B419" s="3" t="s">
        <v>441</v>
      </c>
      <c r="C419" s="3" t="s">
        <v>1275</v>
      </c>
      <c r="D419" s="3" t="s">
        <v>1276</v>
      </c>
      <c r="E419" s="10">
        <v>5.700563787E11</v>
      </c>
      <c r="F419" s="3" t="s">
        <v>1277</v>
      </c>
      <c r="G419" s="3" t="s">
        <v>12</v>
      </c>
      <c r="H419" s="12" t="s">
        <v>1169</v>
      </c>
      <c r="I419" s="3"/>
      <c r="J419" s="3"/>
      <c r="K419" s="3"/>
      <c r="L419" s="3"/>
      <c r="M419" s="3"/>
      <c r="N419" s="3"/>
      <c r="O419" s="3"/>
      <c r="P419" s="3"/>
      <c r="Q419" s="3"/>
    </row>
    <row r="420" ht="15.75" customHeight="1">
      <c r="A420" s="10">
        <v>419.0</v>
      </c>
      <c r="B420" s="3" t="s">
        <v>1278</v>
      </c>
      <c r="C420" s="3" t="s">
        <v>1226</v>
      </c>
      <c r="D420" s="3" t="s">
        <v>1192</v>
      </c>
      <c r="E420" s="10">
        <v>5.70056378701E11</v>
      </c>
      <c r="F420" s="3" t="s">
        <v>524</v>
      </c>
      <c r="G420" s="3" t="s">
        <v>12</v>
      </c>
      <c r="H420" s="12" t="s">
        <v>1169</v>
      </c>
      <c r="I420" s="3"/>
      <c r="J420" s="3"/>
      <c r="K420" s="3"/>
      <c r="L420" s="3"/>
      <c r="M420" s="3"/>
      <c r="N420" s="3"/>
      <c r="O420" s="3"/>
      <c r="P420" s="3"/>
      <c r="Q420" s="3"/>
    </row>
    <row r="421" ht="15.75" customHeight="1">
      <c r="A421" s="10">
        <v>420.0</v>
      </c>
      <c r="B421" s="3" t="s">
        <v>1279</v>
      </c>
      <c r="C421" s="3" t="s">
        <v>1280</v>
      </c>
      <c r="D421" s="3" t="s">
        <v>1281</v>
      </c>
      <c r="E421" s="10">
        <v>5.70056378702E11</v>
      </c>
      <c r="F421" s="3" t="s">
        <v>1282</v>
      </c>
      <c r="G421" s="3" t="s">
        <v>12</v>
      </c>
      <c r="H421" s="12" t="s">
        <v>1169</v>
      </c>
      <c r="I421" s="3"/>
      <c r="J421" s="3"/>
      <c r="K421" s="3"/>
      <c r="L421" s="3"/>
      <c r="M421" s="3"/>
      <c r="N421" s="3"/>
      <c r="O421" s="3"/>
      <c r="P421" s="3"/>
      <c r="Q421" s="3"/>
    </row>
    <row r="422" ht="15.75" customHeight="1">
      <c r="A422" s="10">
        <v>421.0</v>
      </c>
      <c r="B422" s="3" t="s">
        <v>1283</v>
      </c>
      <c r="C422" s="3" t="s">
        <v>1284</v>
      </c>
      <c r="D422" s="3" t="s">
        <v>1285</v>
      </c>
      <c r="E422" s="10">
        <v>5.70056378703E11</v>
      </c>
      <c r="F422" s="3" t="s">
        <v>1286</v>
      </c>
      <c r="G422" s="3" t="s">
        <v>12</v>
      </c>
      <c r="H422" s="12" t="s">
        <v>1169</v>
      </c>
      <c r="I422" s="3"/>
      <c r="J422" s="3"/>
      <c r="K422" s="3"/>
      <c r="L422" s="3"/>
      <c r="M422" s="3"/>
      <c r="N422" s="3"/>
      <c r="O422" s="3"/>
      <c r="P422" s="3"/>
      <c r="Q422" s="3"/>
    </row>
    <row r="423" ht="15.75" customHeight="1">
      <c r="A423" s="10">
        <v>422.0</v>
      </c>
      <c r="B423" s="3" t="s">
        <v>38</v>
      </c>
      <c r="C423" s="3" t="s">
        <v>752</v>
      </c>
      <c r="D423" s="3" t="s">
        <v>1287</v>
      </c>
      <c r="E423" s="10">
        <v>5.70056378704E11</v>
      </c>
      <c r="F423" s="3" t="s">
        <v>1288</v>
      </c>
      <c r="G423" s="3" t="s">
        <v>12</v>
      </c>
      <c r="H423" s="12" t="s">
        <v>1169</v>
      </c>
      <c r="I423" s="3"/>
      <c r="J423" s="3"/>
      <c r="K423" s="3"/>
      <c r="L423" s="3"/>
      <c r="M423" s="3"/>
      <c r="N423" s="3"/>
      <c r="O423" s="3"/>
      <c r="P423" s="3"/>
      <c r="Q423" s="3"/>
    </row>
    <row r="424" ht="15.75" customHeight="1">
      <c r="A424" s="10">
        <v>423.0</v>
      </c>
      <c r="B424" s="3" t="s">
        <v>1289</v>
      </c>
      <c r="C424" s="3" t="s">
        <v>1290</v>
      </c>
      <c r="D424" s="3" t="s">
        <v>48</v>
      </c>
      <c r="E424" s="10">
        <v>5.70056378706E11</v>
      </c>
      <c r="F424" s="3" t="s">
        <v>1201</v>
      </c>
      <c r="G424" s="3" t="s">
        <v>12</v>
      </c>
      <c r="H424" s="12" t="s">
        <v>13</v>
      </c>
      <c r="I424" s="3"/>
      <c r="J424" s="3"/>
      <c r="K424" s="3"/>
      <c r="L424" s="3"/>
      <c r="M424" s="3"/>
      <c r="N424" s="3"/>
      <c r="O424" s="3"/>
      <c r="P424" s="3"/>
      <c r="Q424" s="3"/>
    </row>
    <row r="425" ht="15.75" customHeight="1">
      <c r="A425" s="10">
        <v>424.0</v>
      </c>
      <c r="B425" s="3" t="s">
        <v>1291</v>
      </c>
      <c r="C425" s="3" t="s">
        <v>1292</v>
      </c>
      <c r="D425" s="3" t="s">
        <v>1293</v>
      </c>
      <c r="E425" s="10">
        <v>5.70056378707E11</v>
      </c>
      <c r="F425" s="3" t="s">
        <v>1294</v>
      </c>
      <c r="G425" s="3" t="s">
        <v>12</v>
      </c>
      <c r="H425" s="12" t="s">
        <v>13</v>
      </c>
      <c r="I425" s="3"/>
      <c r="J425" s="3"/>
      <c r="K425" s="3"/>
      <c r="L425" s="3"/>
      <c r="M425" s="3"/>
      <c r="N425" s="3"/>
      <c r="O425" s="3"/>
      <c r="P425" s="3"/>
      <c r="Q425" s="3"/>
    </row>
    <row r="426" ht="15.75" customHeight="1">
      <c r="A426" s="10">
        <v>425.0</v>
      </c>
      <c r="B426" s="3" t="s">
        <v>1295</v>
      </c>
      <c r="C426" s="3" t="s">
        <v>1296</v>
      </c>
      <c r="D426" s="3" t="s">
        <v>1297</v>
      </c>
      <c r="E426" s="10">
        <v>5.70056378708E11</v>
      </c>
      <c r="F426" s="3" t="s">
        <v>1298</v>
      </c>
      <c r="G426" s="3" t="s">
        <v>12</v>
      </c>
      <c r="H426" s="12" t="s">
        <v>28</v>
      </c>
      <c r="I426" s="3"/>
      <c r="J426" s="3"/>
      <c r="K426" s="3" t="s">
        <v>89</v>
      </c>
      <c r="L426" s="3"/>
      <c r="M426" s="3"/>
      <c r="N426" s="3"/>
      <c r="O426" s="3"/>
      <c r="P426" s="3"/>
      <c r="Q426" s="3"/>
    </row>
    <row r="427" ht="15.75" customHeight="1">
      <c r="A427" s="10">
        <v>426.0</v>
      </c>
      <c r="B427" s="3" t="s">
        <v>1299</v>
      </c>
      <c r="C427" s="9" t="s">
        <v>1300</v>
      </c>
      <c r="D427" s="3" t="s">
        <v>1301</v>
      </c>
      <c r="E427" s="10">
        <v>5.70056378709E11</v>
      </c>
      <c r="F427" s="3" t="s">
        <v>1302</v>
      </c>
      <c r="G427" s="3" t="s">
        <v>12</v>
      </c>
      <c r="H427" s="12" t="s">
        <v>1303</v>
      </c>
      <c r="I427" s="3"/>
      <c r="J427" s="3"/>
      <c r="K427" s="3" t="s">
        <v>89</v>
      </c>
      <c r="L427" s="3"/>
      <c r="M427" s="3"/>
      <c r="N427" s="3"/>
      <c r="O427" s="3"/>
      <c r="P427" s="3"/>
      <c r="Q427" s="3"/>
    </row>
    <row r="428" ht="15.75" customHeight="1">
      <c r="A428" s="10">
        <v>427.0</v>
      </c>
      <c r="B428" s="3" t="s">
        <v>441</v>
      </c>
      <c r="C428" s="3" t="s">
        <v>1304</v>
      </c>
      <c r="D428" s="3" t="s">
        <v>1305</v>
      </c>
      <c r="E428" s="10">
        <v>5.70056378712E11</v>
      </c>
      <c r="F428" s="3" t="s">
        <v>1306</v>
      </c>
      <c r="G428" s="3" t="s">
        <v>12</v>
      </c>
      <c r="H428" s="12" t="s">
        <v>13</v>
      </c>
      <c r="I428" s="3"/>
      <c r="J428" s="3"/>
      <c r="K428" s="3"/>
      <c r="L428" s="3"/>
      <c r="M428" s="3"/>
      <c r="N428" s="3"/>
      <c r="O428" s="3"/>
      <c r="P428" s="3"/>
      <c r="Q428" s="3"/>
    </row>
    <row r="429" ht="15.75" customHeight="1">
      <c r="A429" s="10">
        <v>428.0</v>
      </c>
      <c r="B429" s="3" t="s">
        <v>1307</v>
      </c>
      <c r="C429" s="3" t="s">
        <v>1308</v>
      </c>
      <c r="D429" s="3" t="s">
        <v>1309</v>
      </c>
      <c r="E429" s="10">
        <v>5.70056378721E11</v>
      </c>
      <c r="F429" s="3" t="s">
        <v>1310</v>
      </c>
      <c r="G429" s="3" t="s">
        <v>12</v>
      </c>
      <c r="H429" s="12" t="s">
        <v>1303</v>
      </c>
      <c r="I429" s="3"/>
      <c r="J429" s="3"/>
      <c r="K429" s="3" t="s">
        <v>89</v>
      </c>
      <c r="L429" s="3"/>
      <c r="M429" s="3"/>
      <c r="N429" s="3"/>
      <c r="O429" s="3"/>
      <c r="P429" s="3"/>
      <c r="Q429" s="3"/>
    </row>
    <row r="430" ht="15.75" customHeight="1">
      <c r="A430" s="10">
        <v>429.0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 ht="15.75" customHeight="1">
      <c r="A431" s="10">
        <v>430.0</v>
      </c>
      <c r="B431" s="9" t="s">
        <v>1311</v>
      </c>
      <c r="C431" s="3" t="s">
        <v>1312</v>
      </c>
      <c r="D431" s="3" t="s">
        <v>1313</v>
      </c>
      <c r="E431" s="10">
        <v>5.70056378725E11</v>
      </c>
      <c r="F431" s="3" t="s">
        <v>1314</v>
      </c>
      <c r="G431" s="3" t="s">
        <v>12</v>
      </c>
      <c r="H431" s="12" t="s">
        <v>28</v>
      </c>
      <c r="I431" s="3"/>
      <c r="J431" s="3"/>
      <c r="K431" s="3" t="s">
        <v>89</v>
      </c>
      <c r="L431" s="3"/>
      <c r="M431" s="3"/>
      <c r="N431" s="3"/>
      <c r="O431" s="3"/>
      <c r="P431" s="3"/>
      <c r="Q431" s="3"/>
    </row>
    <row r="432" ht="15.75" customHeight="1">
      <c r="A432" s="10">
        <v>431.0</v>
      </c>
      <c r="B432" s="3" t="s">
        <v>1315</v>
      </c>
      <c r="C432" s="3" t="s">
        <v>981</v>
      </c>
      <c r="D432" s="3" t="s">
        <v>1316</v>
      </c>
      <c r="E432" s="10">
        <v>5.70056378729E11</v>
      </c>
      <c r="F432" s="3" t="s">
        <v>1317</v>
      </c>
      <c r="G432" s="3" t="s">
        <v>12</v>
      </c>
      <c r="H432" s="12" t="s">
        <v>1303</v>
      </c>
      <c r="I432" s="3"/>
      <c r="J432" s="3"/>
      <c r="K432" s="3" t="s">
        <v>89</v>
      </c>
      <c r="L432" s="3"/>
      <c r="M432" s="3"/>
      <c r="N432" s="3"/>
      <c r="O432" s="3"/>
      <c r="P432" s="3"/>
      <c r="Q432" s="3"/>
    </row>
    <row r="433" ht="15.75" customHeight="1">
      <c r="A433" s="10">
        <v>432.0</v>
      </c>
      <c r="B433" s="3" t="s">
        <v>1318</v>
      </c>
      <c r="C433" s="3" t="s">
        <v>1319</v>
      </c>
      <c r="D433" s="3" t="s">
        <v>1320</v>
      </c>
      <c r="E433" s="10">
        <v>5.70056378732E11</v>
      </c>
      <c r="F433" s="3" t="s">
        <v>1321</v>
      </c>
      <c r="G433" s="3" t="s">
        <v>12</v>
      </c>
      <c r="H433" s="12" t="s">
        <v>1169</v>
      </c>
      <c r="I433" s="3"/>
      <c r="J433" s="3"/>
      <c r="K433" s="3"/>
      <c r="L433" s="3"/>
      <c r="M433" s="3"/>
      <c r="N433" s="3"/>
      <c r="O433" s="3"/>
      <c r="P433" s="3"/>
      <c r="Q433" s="3"/>
    </row>
    <row r="434" ht="15.75" customHeight="1">
      <c r="A434" s="10">
        <v>433.0</v>
      </c>
      <c r="B434" s="9" t="s">
        <v>1322</v>
      </c>
      <c r="C434" s="3" t="s">
        <v>1323</v>
      </c>
      <c r="D434" s="3" t="s">
        <v>1324</v>
      </c>
      <c r="E434" s="10">
        <v>5.70056378735E11</v>
      </c>
      <c r="F434" s="3" t="s">
        <v>1325</v>
      </c>
      <c r="G434" s="3" t="s">
        <v>12</v>
      </c>
      <c r="H434" s="12" t="s">
        <v>1169</v>
      </c>
      <c r="I434" s="3"/>
      <c r="J434" s="3"/>
      <c r="K434" s="3"/>
      <c r="L434" s="3"/>
      <c r="M434" s="3"/>
      <c r="N434" s="3"/>
      <c r="O434" s="3"/>
      <c r="P434" s="3"/>
      <c r="Q434" s="3"/>
    </row>
    <row r="435" ht="15.75" customHeight="1">
      <c r="A435" s="10">
        <v>434.0</v>
      </c>
      <c r="B435" s="3" t="s">
        <v>1326</v>
      </c>
      <c r="C435" s="9" t="s">
        <v>1327</v>
      </c>
      <c r="D435" s="3" t="s">
        <v>1328</v>
      </c>
      <c r="E435" s="10">
        <v>5.70056378738E11</v>
      </c>
      <c r="F435" s="3" t="s">
        <v>1329</v>
      </c>
      <c r="G435" s="3" t="s">
        <v>12</v>
      </c>
      <c r="H435" s="12" t="s">
        <v>1169</v>
      </c>
      <c r="I435" s="3"/>
      <c r="J435" s="3"/>
      <c r="K435" s="3"/>
      <c r="L435" s="3"/>
      <c r="M435" s="3"/>
      <c r="N435" s="3"/>
      <c r="O435" s="3"/>
      <c r="P435" s="3"/>
      <c r="Q435" s="3"/>
    </row>
    <row r="436" ht="15.75" customHeight="1">
      <c r="A436" s="10">
        <v>435.0</v>
      </c>
      <c r="B436" s="9" t="s">
        <v>1330</v>
      </c>
      <c r="C436" s="3" t="s">
        <v>1219</v>
      </c>
      <c r="D436" s="3" t="s">
        <v>1331</v>
      </c>
      <c r="E436" s="10">
        <v>5.70056378739E11</v>
      </c>
      <c r="F436" s="3" t="s">
        <v>1332</v>
      </c>
      <c r="G436" s="3" t="s">
        <v>12</v>
      </c>
      <c r="H436" s="12" t="s">
        <v>13</v>
      </c>
      <c r="I436" s="3"/>
      <c r="J436" s="3"/>
      <c r="K436" s="3"/>
      <c r="L436" s="3"/>
      <c r="M436" s="3"/>
      <c r="N436" s="3"/>
      <c r="O436" s="3"/>
      <c r="P436" s="3"/>
      <c r="Q436" s="3"/>
    </row>
    <row r="437" ht="15.75" customHeight="1">
      <c r="A437" s="10">
        <v>436.0</v>
      </c>
      <c r="B437" s="3" t="s">
        <v>1333</v>
      </c>
      <c r="C437" s="3" t="s">
        <v>1275</v>
      </c>
      <c r="D437" s="3" t="s">
        <v>332</v>
      </c>
      <c r="E437" s="10">
        <v>5.70056378744E11</v>
      </c>
      <c r="F437" s="3" t="s">
        <v>1334</v>
      </c>
      <c r="G437" s="3" t="s">
        <v>12</v>
      </c>
      <c r="H437" s="12" t="s">
        <v>1169</v>
      </c>
      <c r="I437" s="3"/>
      <c r="J437" s="3"/>
      <c r="K437" s="3"/>
      <c r="L437" s="3"/>
      <c r="M437" s="3"/>
      <c r="N437" s="3"/>
      <c r="O437" s="3"/>
      <c r="P437" s="3"/>
      <c r="Q437" s="3"/>
    </row>
    <row r="438" ht="15.75" customHeight="1">
      <c r="A438" s="10">
        <v>437.0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 ht="15.75" customHeight="1">
      <c r="A439" s="10">
        <v>438.0</v>
      </c>
      <c r="B439" s="3" t="s">
        <v>1335</v>
      </c>
      <c r="C439" s="3" t="s">
        <v>1336</v>
      </c>
      <c r="D439" s="3" t="s">
        <v>1337</v>
      </c>
      <c r="E439" s="10">
        <v>5.70056378748E11</v>
      </c>
      <c r="F439" s="3" t="s">
        <v>1338</v>
      </c>
      <c r="G439" s="3" t="s">
        <v>12</v>
      </c>
      <c r="H439" s="12" t="s">
        <v>13</v>
      </c>
      <c r="I439" s="3"/>
      <c r="J439" s="3"/>
      <c r="K439" s="3"/>
      <c r="L439" s="3"/>
      <c r="M439" s="3"/>
      <c r="N439" s="3"/>
      <c r="O439" s="3"/>
      <c r="P439" s="3"/>
      <c r="Q439" s="3"/>
    </row>
    <row r="440" ht="15.75" customHeight="1">
      <c r="A440" s="10">
        <v>439.0</v>
      </c>
      <c r="B440" s="3" t="s">
        <v>1339</v>
      </c>
      <c r="C440" s="3" t="s">
        <v>1247</v>
      </c>
      <c r="D440" s="3" t="s">
        <v>933</v>
      </c>
      <c r="E440" s="10">
        <v>5.7005637875E11</v>
      </c>
      <c r="F440" s="3" t="s">
        <v>1269</v>
      </c>
      <c r="G440" s="3" t="s">
        <v>12</v>
      </c>
      <c r="H440" s="12" t="s">
        <v>1169</v>
      </c>
      <c r="I440" s="3"/>
      <c r="J440" s="3"/>
      <c r="K440" s="3"/>
      <c r="L440" s="3"/>
      <c r="M440" s="3"/>
      <c r="N440" s="3"/>
      <c r="O440" s="3"/>
      <c r="P440" s="3"/>
      <c r="Q440" s="3"/>
    </row>
    <row r="441" ht="15.75" customHeight="1">
      <c r="A441" s="10">
        <v>440.0</v>
      </c>
      <c r="B441" s="9" t="s">
        <v>368</v>
      </c>
      <c r="C441" s="3" t="s">
        <v>1340</v>
      </c>
      <c r="D441" s="3" t="s">
        <v>1341</v>
      </c>
      <c r="E441" s="10">
        <v>5.70056378751E11</v>
      </c>
      <c r="F441" s="3" t="s">
        <v>1342</v>
      </c>
      <c r="G441" s="3" t="s">
        <v>12</v>
      </c>
      <c r="H441" s="12" t="s">
        <v>1169</v>
      </c>
      <c r="I441" s="3"/>
      <c r="J441" s="3"/>
      <c r="K441" s="3"/>
      <c r="L441" s="3"/>
      <c r="M441" s="3"/>
      <c r="N441" s="3"/>
      <c r="O441" s="3"/>
      <c r="P441" s="3"/>
      <c r="Q441" s="3"/>
    </row>
    <row r="442" ht="15.75" customHeight="1">
      <c r="A442" s="10">
        <v>441.0</v>
      </c>
      <c r="B442" s="3" t="s">
        <v>1343</v>
      </c>
      <c r="C442" s="3" t="s">
        <v>390</v>
      </c>
      <c r="D442" s="3" t="s">
        <v>391</v>
      </c>
      <c r="E442" s="10">
        <v>5.70056378755E11</v>
      </c>
      <c r="F442" s="3" t="s">
        <v>1344</v>
      </c>
      <c r="G442" s="3" t="s">
        <v>12</v>
      </c>
      <c r="H442" s="12" t="s">
        <v>1169</v>
      </c>
      <c r="I442" s="3"/>
      <c r="J442" s="3"/>
      <c r="K442" s="3"/>
      <c r="L442" s="3"/>
      <c r="M442" s="3"/>
      <c r="N442" s="3"/>
      <c r="O442" s="3"/>
      <c r="P442" s="3"/>
      <c r="Q442" s="3"/>
    </row>
    <row r="443" ht="15.75" customHeight="1">
      <c r="A443" s="10">
        <v>442.0</v>
      </c>
      <c r="B443" s="3" t="s">
        <v>390</v>
      </c>
      <c r="C443" s="3" t="s">
        <v>1345</v>
      </c>
      <c r="D443" s="3" t="s">
        <v>462</v>
      </c>
      <c r="E443" s="10">
        <v>5.70056378757E11</v>
      </c>
      <c r="F443" s="3" t="s">
        <v>1346</v>
      </c>
      <c r="G443" s="3" t="s">
        <v>12</v>
      </c>
      <c r="H443" s="12" t="s">
        <v>13</v>
      </c>
      <c r="I443" s="3"/>
      <c r="J443" s="3"/>
      <c r="K443" s="3"/>
      <c r="L443" s="3"/>
      <c r="M443" s="3"/>
      <c r="N443" s="3"/>
      <c r="O443" s="3"/>
      <c r="P443" s="3"/>
      <c r="Q443" s="3"/>
    </row>
    <row r="444" ht="15.75" customHeight="1">
      <c r="A444" s="10">
        <v>443.0</v>
      </c>
      <c r="B444" s="3" t="s">
        <v>1347</v>
      </c>
      <c r="C444" s="3" t="s">
        <v>1256</v>
      </c>
      <c r="D444" s="3" t="s">
        <v>60</v>
      </c>
      <c r="E444" s="10">
        <v>5.70056378759E11</v>
      </c>
      <c r="F444" s="3" t="s">
        <v>1348</v>
      </c>
      <c r="G444" s="3" t="s">
        <v>12</v>
      </c>
      <c r="H444" s="12" t="s">
        <v>13</v>
      </c>
      <c r="I444" s="3"/>
      <c r="J444" s="3"/>
      <c r="K444" s="3"/>
      <c r="L444" s="3"/>
      <c r="M444" s="3"/>
      <c r="N444" s="3"/>
      <c r="O444" s="3"/>
      <c r="P444" s="3"/>
      <c r="Q444" s="3"/>
    </row>
    <row r="445" ht="15.75" customHeight="1">
      <c r="A445" s="10">
        <v>444.0</v>
      </c>
      <c r="B445" s="3" t="s">
        <v>549</v>
      </c>
      <c r="C445" s="3" t="s">
        <v>1256</v>
      </c>
      <c r="D445" s="3" t="s">
        <v>1349</v>
      </c>
      <c r="E445" s="10">
        <v>5.7005637876E11</v>
      </c>
      <c r="F445" s="3" t="s">
        <v>1350</v>
      </c>
      <c r="G445" s="3" t="s">
        <v>12</v>
      </c>
      <c r="H445" s="12" t="s">
        <v>13</v>
      </c>
      <c r="I445" s="3"/>
      <c r="J445" s="3"/>
      <c r="K445" s="3"/>
      <c r="L445" s="3"/>
      <c r="M445" s="3"/>
      <c r="N445" s="3"/>
      <c r="O445" s="3"/>
      <c r="P445" s="3"/>
      <c r="Q445" s="3"/>
    </row>
    <row r="446" ht="15.75" customHeight="1">
      <c r="A446" s="10">
        <v>445.0</v>
      </c>
      <c r="B446" s="3" t="s">
        <v>1351</v>
      </c>
      <c r="C446" s="3" t="s">
        <v>390</v>
      </c>
      <c r="D446" s="3" t="s">
        <v>391</v>
      </c>
      <c r="E446" s="10">
        <v>5.70056378761E11</v>
      </c>
      <c r="F446" s="3" t="s">
        <v>1352</v>
      </c>
      <c r="G446" s="3" t="s">
        <v>12</v>
      </c>
      <c r="H446" s="12" t="s">
        <v>1169</v>
      </c>
      <c r="I446" s="3"/>
      <c r="J446" s="3"/>
      <c r="K446" s="3"/>
      <c r="L446" s="3"/>
      <c r="M446" s="3"/>
      <c r="N446" s="3"/>
      <c r="O446" s="3"/>
      <c r="P446" s="3"/>
      <c r="Q446" s="3"/>
    </row>
    <row r="447" ht="15.75" customHeight="1">
      <c r="A447" s="10">
        <v>446.0</v>
      </c>
      <c r="B447" s="3" t="s">
        <v>751</v>
      </c>
      <c r="C447" s="3" t="s">
        <v>1353</v>
      </c>
      <c r="D447" s="3" t="s">
        <v>1354</v>
      </c>
      <c r="E447" s="10">
        <v>5.70056378776E11</v>
      </c>
      <c r="F447" s="3" t="s">
        <v>1355</v>
      </c>
      <c r="G447" s="3" t="s">
        <v>1356</v>
      </c>
      <c r="H447" s="12" t="s">
        <v>318</v>
      </c>
      <c r="I447" s="3"/>
      <c r="J447" s="3"/>
      <c r="K447" s="3"/>
      <c r="L447" s="3"/>
      <c r="M447" s="3"/>
      <c r="N447" s="3"/>
      <c r="O447" s="3"/>
      <c r="P447" s="3"/>
      <c r="Q447" s="3"/>
    </row>
    <row r="448" ht="15.75" customHeight="1">
      <c r="A448" s="10">
        <v>447.0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 ht="15.75" customHeight="1">
      <c r="A449" s="10">
        <v>448.0</v>
      </c>
      <c r="B449" s="3" t="s">
        <v>1357</v>
      </c>
      <c r="C449" s="3" t="s">
        <v>1358</v>
      </c>
      <c r="D449" s="3" t="s">
        <v>1359</v>
      </c>
      <c r="E449" s="10">
        <v>5.70056378785E11</v>
      </c>
      <c r="F449" s="3" t="s">
        <v>405</v>
      </c>
      <c r="G449" s="3" t="s">
        <v>50</v>
      </c>
      <c r="H449" s="12" t="s">
        <v>13</v>
      </c>
      <c r="I449" s="3"/>
      <c r="J449" s="3"/>
      <c r="K449" s="3"/>
      <c r="L449" s="3"/>
      <c r="M449" s="3"/>
      <c r="N449" s="3"/>
      <c r="O449" s="3"/>
      <c r="P449" s="3"/>
      <c r="Q449" s="3"/>
    </row>
    <row r="450" ht="15.75" customHeight="1">
      <c r="A450" s="10">
        <v>449.0</v>
      </c>
      <c r="B450" s="3" t="s">
        <v>1360</v>
      </c>
      <c r="C450" s="3" t="s">
        <v>112</v>
      </c>
      <c r="D450" s="3" t="s">
        <v>1361</v>
      </c>
      <c r="E450" s="10">
        <v>5.70056378786E11</v>
      </c>
      <c r="F450" s="3" t="s">
        <v>1362</v>
      </c>
      <c r="G450" s="3" t="s">
        <v>12</v>
      </c>
      <c r="H450" s="12" t="s">
        <v>338</v>
      </c>
      <c r="I450" s="3"/>
      <c r="J450" s="3"/>
      <c r="K450" s="3"/>
      <c r="L450" s="3"/>
      <c r="M450" s="3"/>
      <c r="N450" s="3"/>
      <c r="O450" s="3"/>
      <c r="P450" s="3"/>
      <c r="Q450" s="3"/>
    </row>
    <row r="451" ht="15.75" customHeight="1">
      <c r="A451" s="10">
        <v>450.0</v>
      </c>
      <c r="B451" s="3" t="s">
        <v>1095</v>
      </c>
      <c r="C451" s="3" t="s">
        <v>1363</v>
      </c>
      <c r="D451" s="3" t="s">
        <v>1364</v>
      </c>
      <c r="E451" s="10">
        <v>5.70056378789E11</v>
      </c>
      <c r="F451" s="3" t="s">
        <v>1365</v>
      </c>
      <c r="G451" s="3" t="s">
        <v>12</v>
      </c>
      <c r="H451" s="12" t="s">
        <v>338</v>
      </c>
      <c r="I451" s="3"/>
      <c r="J451" s="3"/>
      <c r="K451" s="3"/>
      <c r="L451" s="3"/>
      <c r="M451" s="3"/>
      <c r="N451" s="3"/>
      <c r="O451" s="3"/>
      <c r="P451" s="3"/>
      <c r="Q451" s="3"/>
    </row>
    <row r="452" ht="15.75" customHeight="1">
      <c r="A452" s="10">
        <v>451.0</v>
      </c>
      <c r="B452" s="3" t="s">
        <v>304</v>
      </c>
      <c r="C452" s="3" t="s">
        <v>1366</v>
      </c>
      <c r="D452" s="3" t="s">
        <v>1367</v>
      </c>
      <c r="E452" s="10">
        <v>5.7005637879E11</v>
      </c>
      <c r="F452" s="3" t="s">
        <v>975</v>
      </c>
      <c r="G452" s="3" t="s">
        <v>12</v>
      </c>
      <c r="H452" s="12" t="s">
        <v>318</v>
      </c>
      <c r="I452" s="3"/>
      <c r="J452" s="3"/>
      <c r="K452" s="3"/>
      <c r="L452" s="3"/>
      <c r="M452" s="3"/>
      <c r="N452" s="3"/>
      <c r="O452" s="3"/>
      <c r="P452" s="3"/>
      <c r="Q452" s="3"/>
    </row>
    <row r="453" ht="15.75" customHeight="1">
      <c r="A453" s="10">
        <v>452.0</v>
      </c>
      <c r="B453" s="3" t="s">
        <v>1368</v>
      </c>
      <c r="C453" s="3" t="s">
        <v>1369</v>
      </c>
      <c r="D453" s="3" t="s">
        <v>1370</v>
      </c>
      <c r="E453" s="10">
        <v>5.70056378791E11</v>
      </c>
      <c r="F453" s="3" t="s">
        <v>1371</v>
      </c>
      <c r="G453" s="3" t="s">
        <v>12</v>
      </c>
      <c r="H453" s="12" t="s">
        <v>338</v>
      </c>
      <c r="I453" s="3"/>
      <c r="J453" s="3"/>
      <c r="K453" s="3"/>
      <c r="L453" s="3"/>
      <c r="M453" s="3"/>
      <c r="N453" s="3"/>
      <c r="O453" s="3"/>
      <c r="P453" s="3"/>
      <c r="Q453" s="3"/>
    </row>
    <row r="454" ht="15.75" customHeight="1">
      <c r="A454" s="10">
        <v>453.0</v>
      </c>
      <c r="B454" s="3" t="s">
        <v>380</v>
      </c>
      <c r="C454" s="3" t="s">
        <v>166</v>
      </c>
      <c r="D454" s="3" t="s">
        <v>248</v>
      </c>
      <c r="E454" s="10">
        <v>5.70056378792E11</v>
      </c>
      <c r="F454" s="3" t="s">
        <v>1372</v>
      </c>
      <c r="G454" s="3" t="s">
        <v>12</v>
      </c>
      <c r="H454" s="12" t="s">
        <v>13</v>
      </c>
      <c r="I454" s="3"/>
      <c r="J454" s="3"/>
      <c r="K454" s="3"/>
      <c r="L454" s="3"/>
      <c r="M454" s="3"/>
      <c r="N454" s="3"/>
      <c r="O454" s="3"/>
      <c r="P454" s="3"/>
      <c r="Q454" s="3"/>
    </row>
    <row r="455" ht="15.75" customHeight="1">
      <c r="A455" s="10">
        <v>454.0</v>
      </c>
      <c r="B455" s="3" t="s">
        <v>1373</v>
      </c>
      <c r="C455" s="3" t="s">
        <v>1374</v>
      </c>
      <c r="D455" s="3" t="s">
        <v>675</v>
      </c>
      <c r="E455" s="10">
        <v>5.70056378797E11</v>
      </c>
      <c r="F455" s="3" t="s">
        <v>1375</v>
      </c>
      <c r="G455" s="3" t="s">
        <v>12</v>
      </c>
      <c r="H455" s="12" t="s">
        <v>13</v>
      </c>
      <c r="I455" s="3"/>
      <c r="J455" s="3"/>
      <c r="K455" s="3"/>
      <c r="L455" s="3"/>
      <c r="M455" s="3"/>
      <c r="N455" s="3"/>
      <c r="O455" s="3"/>
      <c r="P455" s="3"/>
      <c r="Q455" s="3"/>
    </row>
    <row r="456" ht="15.75" customHeight="1">
      <c r="A456" s="10">
        <v>455.0</v>
      </c>
      <c r="B456" s="3" t="s">
        <v>1376</v>
      </c>
      <c r="C456" s="3" t="s">
        <v>1377</v>
      </c>
      <c r="D456" s="3" t="s">
        <v>152</v>
      </c>
      <c r="E456" s="8">
        <v>5.70056378798E11</v>
      </c>
      <c r="F456" s="3" t="s">
        <v>1378</v>
      </c>
      <c r="G456" s="3" t="s">
        <v>12</v>
      </c>
      <c r="H456" s="12" t="s">
        <v>13</v>
      </c>
      <c r="I456" s="3"/>
      <c r="J456" s="3"/>
      <c r="K456" s="3"/>
      <c r="L456" s="3"/>
      <c r="M456" s="3"/>
      <c r="N456" s="3"/>
      <c r="O456" s="3"/>
      <c r="P456" s="3"/>
      <c r="Q456" s="3"/>
    </row>
    <row r="457" ht="15.75" customHeight="1">
      <c r="A457" s="10">
        <v>456.0</v>
      </c>
      <c r="B457" s="3" t="s">
        <v>323</v>
      </c>
      <c r="C457" s="3" t="s">
        <v>1379</v>
      </c>
      <c r="D457" s="3" t="s">
        <v>1324</v>
      </c>
      <c r="E457" s="10">
        <v>5.700563788E11</v>
      </c>
      <c r="F457" s="3" t="s">
        <v>1380</v>
      </c>
      <c r="G457" s="3" t="s">
        <v>12</v>
      </c>
      <c r="H457" s="12" t="s">
        <v>1169</v>
      </c>
      <c r="I457" s="3"/>
      <c r="J457" s="3"/>
      <c r="K457" s="3"/>
      <c r="L457" s="3"/>
      <c r="M457" s="3"/>
      <c r="N457" s="3"/>
      <c r="O457" s="3"/>
      <c r="P457" s="3"/>
      <c r="Q457" s="3"/>
    </row>
    <row r="458" ht="15.75" customHeight="1">
      <c r="A458" s="10">
        <v>457.0</v>
      </c>
      <c r="B458" s="9" t="s">
        <v>590</v>
      </c>
      <c r="C458" s="3" t="s">
        <v>674</v>
      </c>
      <c r="D458" s="3" t="s">
        <v>675</v>
      </c>
      <c r="E458" s="10">
        <v>5.70056378802E11</v>
      </c>
      <c r="F458" s="3" t="s">
        <v>1381</v>
      </c>
      <c r="G458" s="3" t="s">
        <v>12</v>
      </c>
      <c r="H458" s="12" t="s">
        <v>1382</v>
      </c>
      <c r="I458" s="3"/>
      <c r="J458" s="3"/>
      <c r="K458" s="3"/>
      <c r="L458" s="3"/>
      <c r="M458" s="3"/>
      <c r="N458" s="3"/>
      <c r="O458" s="3"/>
      <c r="P458" s="3"/>
      <c r="Q458" s="3"/>
    </row>
    <row r="459" ht="15.75" customHeight="1">
      <c r="A459" s="10">
        <v>458.0</v>
      </c>
      <c r="B459" s="3" t="s">
        <v>201</v>
      </c>
      <c r="C459" s="3" t="s">
        <v>1383</v>
      </c>
      <c r="D459" s="3" t="s">
        <v>362</v>
      </c>
      <c r="E459" s="10">
        <v>5.70056378807E11</v>
      </c>
      <c r="F459" s="3" t="s">
        <v>1384</v>
      </c>
      <c r="G459" s="3" t="s">
        <v>12</v>
      </c>
      <c r="H459" s="12" t="s">
        <v>13</v>
      </c>
      <c r="I459" s="3"/>
      <c r="J459" s="3"/>
      <c r="K459" s="3"/>
      <c r="L459" s="3"/>
      <c r="M459" s="3"/>
      <c r="N459" s="3"/>
      <c r="O459" s="3"/>
      <c r="P459" s="3"/>
      <c r="Q459" s="3"/>
    </row>
    <row r="460" ht="15.75" customHeight="1">
      <c r="A460" s="10">
        <v>459.0</v>
      </c>
      <c r="B460" s="3" t="s">
        <v>144</v>
      </c>
      <c r="C460" s="3" t="s">
        <v>166</v>
      </c>
      <c r="D460" s="3" t="s">
        <v>248</v>
      </c>
      <c r="E460" s="10">
        <v>5.70056378808E11</v>
      </c>
      <c r="F460" s="3" t="s">
        <v>1385</v>
      </c>
      <c r="G460" s="3" t="s">
        <v>12</v>
      </c>
      <c r="H460" s="12" t="s">
        <v>1386</v>
      </c>
      <c r="I460" s="3"/>
      <c r="J460" s="3"/>
      <c r="K460" s="3" t="s">
        <v>89</v>
      </c>
      <c r="L460" s="3"/>
      <c r="M460" s="3"/>
      <c r="N460" s="3"/>
      <c r="O460" s="3"/>
      <c r="P460" s="3"/>
      <c r="Q460" s="3"/>
    </row>
    <row r="461" ht="15.75" customHeight="1">
      <c r="A461" s="10">
        <v>460.0</v>
      </c>
      <c r="B461" s="3" t="s">
        <v>1387</v>
      </c>
      <c r="C461" s="3" t="s">
        <v>1388</v>
      </c>
      <c r="D461" s="3" t="s">
        <v>645</v>
      </c>
      <c r="E461" s="10">
        <v>5.7005637881E11</v>
      </c>
      <c r="F461" s="3" t="s">
        <v>1389</v>
      </c>
      <c r="G461" s="3" t="s">
        <v>12</v>
      </c>
      <c r="H461" s="12" t="s">
        <v>13</v>
      </c>
      <c r="I461" s="3"/>
      <c r="J461" s="3"/>
      <c r="K461" s="3"/>
      <c r="L461" s="3"/>
      <c r="M461" s="3"/>
      <c r="N461" s="3"/>
      <c r="O461" s="3"/>
      <c r="P461" s="3"/>
      <c r="Q461" s="3"/>
    </row>
    <row r="462" ht="15.75" customHeight="1">
      <c r="A462" s="10">
        <v>461.0</v>
      </c>
      <c r="B462" s="3" t="s">
        <v>1390</v>
      </c>
      <c r="C462" s="3" t="s">
        <v>1284</v>
      </c>
      <c r="D462" s="3" t="s">
        <v>1391</v>
      </c>
      <c r="E462" s="8">
        <v>5.70056378815E11</v>
      </c>
      <c r="F462" s="3" t="s">
        <v>1392</v>
      </c>
      <c r="G462" s="3" t="s">
        <v>12</v>
      </c>
      <c r="H462" s="12" t="s">
        <v>1393</v>
      </c>
      <c r="I462" s="3"/>
      <c r="J462" s="3"/>
      <c r="K462" s="3"/>
      <c r="L462" s="3"/>
      <c r="M462" s="3"/>
      <c r="N462" s="3"/>
      <c r="O462" s="3"/>
      <c r="P462" s="3"/>
      <c r="Q462" s="3"/>
    </row>
    <row r="463" ht="15.75" customHeight="1">
      <c r="A463" s="10">
        <v>462.0</v>
      </c>
      <c r="B463" s="3" t="s">
        <v>1394</v>
      </c>
      <c r="C463" s="3" t="s">
        <v>1271</v>
      </c>
      <c r="D463" s="3" t="s">
        <v>1257</v>
      </c>
      <c r="E463" s="8">
        <v>5.70056378816E11</v>
      </c>
      <c r="F463" s="3" t="s">
        <v>1395</v>
      </c>
      <c r="G463" s="3" t="s">
        <v>12</v>
      </c>
      <c r="H463" s="12" t="s">
        <v>13</v>
      </c>
      <c r="I463" s="3"/>
      <c r="J463" s="3"/>
      <c r="K463" s="3"/>
      <c r="L463" s="3"/>
      <c r="M463" s="3"/>
      <c r="N463" s="3"/>
      <c r="O463" s="3"/>
      <c r="P463" s="3"/>
      <c r="Q463" s="3"/>
    </row>
    <row r="464" ht="15.75" customHeight="1">
      <c r="A464" s="10">
        <v>463.0</v>
      </c>
      <c r="B464" s="3" t="s">
        <v>150</v>
      </c>
      <c r="C464" s="3" t="s">
        <v>1072</v>
      </c>
      <c r="D464" s="3" t="s">
        <v>662</v>
      </c>
      <c r="E464" s="8">
        <v>5.70056378819E11</v>
      </c>
      <c r="F464" s="3" t="s">
        <v>1396</v>
      </c>
      <c r="G464" s="3" t="s">
        <v>12</v>
      </c>
      <c r="H464" s="12" t="s">
        <v>13</v>
      </c>
      <c r="I464" s="3"/>
      <c r="J464" s="3"/>
      <c r="K464" s="3"/>
      <c r="L464" s="3"/>
      <c r="M464" s="3"/>
      <c r="N464" s="3"/>
      <c r="O464" s="3"/>
      <c r="P464" s="3"/>
      <c r="Q464" s="3"/>
    </row>
    <row r="465" ht="15.75" customHeight="1">
      <c r="A465" s="10">
        <v>464.0</v>
      </c>
      <c r="B465" s="3" t="s">
        <v>1397</v>
      </c>
      <c r="C465" s="3" t="s">
        <v>1398</v>
      </c>
      <c r="D465" s="3" t="s">
        <v>1399</v>
      </c>
      <c r="E465" s="10">
        <v>5.70056378822E11</v>
      </c>
      <c r="F465" s="3" t="s">
        <v>1400</v>
      </c>
      <c r="G465" s="3" t="s">
        <v>12</v>
      </c>
      <c r="H465" s="12" t="s">
        <v>13</v>
      </c>
      <c r="I465" s="3"/>
      <c r="J465" s="3"/>
      <c r="K465" s="3"/>
      <c r="L465" s="3"/>
      <c r="M465" s="3"/>
      <c r="N465" s="3"/>
      <c r="O465" s="3"/>
      <c r="P465" s="3"/>
      <c r="Q465" s="3"/>
    </row>
    <row r="466" ht="15.75" customHeight="1">
      <c r="A466" s="10">
        <v>465.0</v>
      </c>
      <c r="B466" s="3" t="s">
        <v>201</v>
      </c>
      <c r="C466" s="3" t="s">
        <v>1284</v>
      </c>
      <c r="D466" s="3" t="s">
        <v>1391</v>
      </c>
      <c r="E466" s="10">
        <v>5.70056378823E11</v>
      </c>
      <c r="F466" s="3" t="s">
        <v>1401</v>
      </c>
      <c r="G466" s="3" t="s">
        <v>12</v>
      </c>
      <c r="H466" s="12" t="s">
        <v>1393</v>
      </c>
      <c r="I466" s="3"/>
      <c r="J466" s="3"/>
      <c r="K466" s="3"/>
      <c r="L466" s="3"/>
      <c r="M466" s="3"/>
      <c r="N466" s="3"/>
      <c r="O466" s="3"/>
      <c r="P466" s="3"/>
      <c r="Q466" s="3"/>
    </row>
    <row r="467" ht="15.75" customHeight="1">
      <c r="A467" s="10">
        <v>466.0</v>
      </c>
      <c r="B467" s="3" t="s">
        <v>1398</v>
      </c>
      <c r="C467" s="3" t="s">
        <v>1402</v>
      </c>
      <c r="D467" s="3" t="s">
        <v>1403</v>
      </c>
      <c r="E467" s="10">
        <v>5.70056378824E11</v>
      </c>
      <c r="F467" s="3" t="s">
        <v>1404</v>
      </c>
      <c r="G467" s="3" t="s">
        <v>12</v>
      </c>
      <c r="H467" s="12" t="s">
        <v>1393</v>
      </c>
      <c r="I467" s="3"/>
      <c r="J467" s="3"/>
      <c r="K467" s="3"/>
      <c r="L467" s="3"/>
      <c r="M467" s="3"/>
      <c r="N467" s="3"/>
      <c r="O467" s="3"/>
      <c r="P467" s="3"/>
      <c r="Q467" s="3"/>
    </row>
    <row r="468" ht="15.75" customHeight="1">
      <c r="A468" s="10">
        <v>467.0</v>
      </c>
      <c r="B468" s="3" t="s">
        <v>1405</v>
      </c>
      <c r="C468" s="3" t="s">
        <v>1406</v>
      </c>
      <c r="D468" s="3" t="s">
        <v>645</v>
      </c>
      <c r="E468" s="10">
        <v>5.70056378826E11</v>
      </c>
      <c r="F468" s="3" t="s">
        <v>1407</v>
      </c>
      <c r="G468" s="3" t="s">
        <v>12</v>
      </c>
      <c r="H468" s="12" t="s">
        <v>13</v>
      </c>
      <c r="I468" s="3"/>
      <c r="J468" s="3"/>
      <c r="K468" s="3"/>
      <c r="L468" s="3"/>
      <c r="M468" s="3"/>
      <c r="N468" s="3"/>
      <c r="O468" s="3"/>
      <c r="P468" s="3"/>
      <c r="Q468" s="3"/>
    </row>
    <row r="469" ht="15.75" customHeight="1">
      <c r="A469" s="10">
        <v>468.0</v>
      </c>
      <c r="B469" s="3" t="s">
        <v>1408</v>
      </c>
      <c r="C469" s="3" t="s">
        <v>1387</v>
      </c>
      <c r="D469" s="3" t="s">
        <v>763</v>
      </c>
      <c r="E469" s="10">
        <v>5.70056378829E11</v>
      </c>
      <c r="F469" s="3" t="s">
        <v>1409</v>
      </c>
      <c r="G469" s="3" t="s">
        <v>12</v>
      </c>
      <c r="H469" s="12" t="s">
        <v>13</v>
      </c>
      <c r="I469" s="3"/>
      <c r="J469" s="3"/>
      <c r="K469" s="3"/>
      <c r="L469" s="3"/>
      <c r="M469" s="3"/>
      <c r="N469" s="3"/>
      <c r="O469" s="3"/>
      <c r="P469" s="3"/>
      <c r="Q469" s="3"/>
    </row>
    <row r="470" ht="15.75" customHeight="1">
      <c r="A470" s="10">
        <v>469.0</v>
      </c>
      <c r="B470" s="3" t="s">
        <v>9</v>
      </c>
      <c r="C470" s="3" t="s">
        <v>1387</v>
      </c>
      <c r="D470" s="3" t="s">
        <v>763</v>
      </c>
      <c r="E470" s="10">
        <v>5.7005637883E11</v>
      </c>
      <c r="F470" s="3" t="s">
        <v>1410</v>
      </c>
      <c r="G470" s="3" t="s">
        <v>12</v>
      </c>
      <c r="H470" s="12" t="s">
        <v>1382</v>
      </c>
      <c r="I470" s="3"/>
      <c r="J470" s="3"/>
      <c r="K470" s="3"/>
      <c r="L470" s="3"/>
      <c r="M470" s="3"/>
      <c r="N470" s="3"/>
      <c r="O470" s="3"/>
      <c r="P470" s="3"/>
      <c r="Q470" s="3"/>
    </row>
    <row r="471" ht="15.75" customHeight="1">
      <c r="A471" s="10">
        <v>470.0</v>
      </c>
      <c r="B471" s="3" t="s">
        <v>154</v>
      </c>
      <c r="C471" s="3" t="s">
        <v>205</v>
      </c>
      <c r="D471" s="3" t="s">
        <v>1411</v>
      </c>
      <c r="E471" s="10">
        <v>5.70056378832E11</v>
      </c>
      <c r="F471" s="3" t="s">
        <v>1412</v>
      </c>
      <c r="G471" s="3" t="s">
        <v>12</v>
      </c>
      <c r="H471" s="12" t="s">
        <v>1382</v>
      </c>
      <c r="I471" s="3"/>
      <c r="J471" s="3"/>
      <c r="K471" s="3"/>
      <c r="L471" s="3"/>
      <c r="M471" s="3"/>
      <c r="N471" s="3"/>
      <c r="O471" s="3"/>
      <c r="P471" s="3"/>
      <c r="Q471" s="3"/>
    </row>
    <row r="472" ht="15.75" customHeight="1">
      <c r="A472" s="10">
        <v>471.0</v>
      </c>
      <c r="B472" s="3" t="s">
        <v>1413</v>
      </c>
      <c r="C472" s="3" t="s">
        <v>1374</v>
      </c>
      <c r="D472" s="3" t="s">
        <v>1414</v>
      </c>
      <c r="E472" s="10">
        <v>5.70056378833E11</v>
      </c>
      <c r="F472" s="3" t="s">
        <v>1415</v>
      </c>
      <c r="G472" s="3" t="s">
        <v>12</v>
      </c>
      <c r="H472" s="12" t="s">
        <v>1393</v>
      </c>
      <c r="I472" s="3"/>
      <c r="J472" s="3"/>
      <c r="K472" s="3"/>
      <c r="L472" s="3"/>
      <c r="M472" s="3"/>
      <c r="N472" s="3"/>
      <c r="O472" s="3"/>
      <c r="P472" s="3"/>
      <c r="Q472" s="3"/>
    </row>
    <row r="473" ht="15.75" customHeight="1">
      <c r="A473" s="10">
        <v>472.0</v>
      </c>
      <c r="B473" s="3" t="s">
        <v>1416</v>
      </c>
      <c r="C473" s="3" t="s">
        <v>1271</v>
      </c>
      <c r="D473" s="3" t="s">
        <v>1257</v>
      </c>
      <c r="E473" s="10">
        <v>5.70056378835E11</v>
      </c>
      <c r="F473" s="3" t="s">
        <v>1417</v>
      </c>
      <c r="G473" s="3" t="s">
        <v>12</v>
      </c>
      <c r="H473" s="12" t="s">
        <v>1382</v>
      </c>
      <c r="I473" s="3"/>
      <c r="J473" s="3"/>
      <c r="K473" s="3"/>
      <c r="L473" s="3"/>
      <c r="M473" s="3"/>
      <c r="N473" s="3"/>
      <c r="O473" s="3"/>
      <c r="P473" s="3"/>
      <c r="Q473" s="3"/>
    </row>
    <row r="474" ht="15.75" customHeight="1">
      <c r="A474" s="10">
        <v>473.0</v>
      </c>
      <c r="B474" s="3" t="s">
        <v>1418</v>
      </c>
      <c r="C474" s="3" t="s">
        <v>1271</v>
      </c>
      <c r="D474" s="3" t="s">
        <v>60</v>
      </c>
      <c r="E474" s="10">
        <v>5.70056378836E11</v>
      </c>
      <c r="F474" s="3" t="s">
        <v>530</v>
      </c>
      <c r="G474" s="3" t="s">
        <v>1419</v>
      </c>
      <c r="H474" s="12" t="s">
        <v>13</v>
      </c>
      <c r="I474" s="3"/>
      <c r="J474" s="3"/>
      <c r="K474" s="3"/>
      <c r="L474" s="3"/>
      <c r="M474" s="3"/>
      <c r="N474" s="3"/>
      <c r="O474" s="3"/>
      <c r="P474" s="3"/>
      <c r="Q474" s="3"/>
    </row>
    <row r="475" ht="15.75" customHeight="1">
      <c r="A475" s="10">
        <v>474.0</v>
      </c>
      <c r="B475" s="3" t="s">
        <v>1420</v>
      </c>
      <c r="C475" s="3" t="s">
        <v>1421</v>
      </c>
      <c r="D475" s="3" t="s">
        <v>1422</v>
      </c>
      <c r="E475" s="10">
        <v>5.70056378838E11</v>
      </c>
      <c r="F475" s="3" t="s">
        <v>1423</v>
      </c>
      <c r="G475" s="3" t="s">
        <v>12</v>
      </c>
      <c r="H475" s="12" t="s">
        <v>1393</v>
      </c>
      <c r="I475" s="3"/>
      <c r="J475" s="3"/>
      <c r="K475" s="3"/>
      <c r="L475" s="3"/>
      <c r="M475" s="3"/>
      <c r="N475" s="3"/>
      <c r="O475" s="3"/>
      <c r="P475" s="3"/>
      <c r="Q475" s="3"/>
    </row>
    <row r="476" ht="15.75" customHeight="1">
      <c r="A476" s="10">
        <v>475.0</v>
      </c>
      <c r="B476" s="3" t="s">
        <v>92</v>
      </c>
      <c r="C476" s="3" t="s">
        <v>1424</v>
      </c>
      <c r="D476" s="3" t="s">
        <v>277</v>
      </c>
      <c r="E476" s="10">
        <v>5.7005637884E11</v>
      </c>
      <c r="F476" s="3" t="s">
        <v>1425</v>
      </c>
      <c r="G476" s="3" t="s">
        <v>12</v>
      </c>
      <c r="H476" s="12" t="s">
        <v>13</v>
      </c>
      <c r="I476" s="3"/>
      <c r="J476" s="3"/>
      <c r="K476" s="3"/>
      <c r="L476" s="3"/>
      <c r="M476" s="3"/>
      <c r="N476" s="3"/>
      <c r="O476" s="3"/>
      <c r="P476" s="3"/>
      <c r="Q476" s="3"/>
    </row>
    <row r="477" ht="15.75" customHeight="1">
      <c r="A477" s="10">
        <v>476.0</v>
      </c>
      <c r="B477" s="3" t="s">
        <v>380</v>
      </c>
      <c r="C477" s="3" t="s">
        <v>1426</v>
      </c>
      <c r="D477" s="3" t="s">
        <v>1427</v>
      </c>
      <c r="E477" s="10">
        <v>5.70056378842E11</v>
      </c>
      <c r="F477" s="3" t="s">
        <v>1428</v>
      </c>
      <c r="G477" s="3" t="s">
        <v>12</v>
      </c>
      <c r="H477" s="12" t="s">
        <v>1393</v>
      </c>
      <c r="I477" s="3"/>
      <c r="J477" s="3"/>
      <c r="K477" s="3"/>
      <c r="L477" s="3"/>
      <c r="M477" s="3"/>
      <c r="N477" s="3"/>
      <c r="O477" s="3"/>
      <c r="P477" s="3"/>
      <c r="Q477" s="3"/>
    </row>
    <row r="478" ht="15.75" customHeight="1">
      <c r="A478" s="10">
        <v>477.0</v>
      </c>
      <c r="B478" s="3" t="s">
        <v>456</v>
      </c>
      <c r="C478" s="3" t="s">
        <v>1429</v>
      </c>
      <c r="D478" s="3" t="s">
        <v>1430</v>
      </c>
      <c r="E478" s="10">
        <v>5.70056378861E11</v>
      </c>
      <c r="F478" s="3" t="s">
        <v>1431</v>
      </c>
      <c r="G478" s="3" t="s">
        <v>12</v>
      </c>
      <c r="H478" s="12" t="s">
        <v>1382</v>
      </c>
      <c r="I478" s="3"/>
      <c r="J478" s="3"/>
      <c r="K478" s="3"/>
      <c r="L478" s="3"/>
      <c r="M478" s="3"/>
      <c r="N478" s="3"/>
      <c r="O478" s="3"/>
      <c r="P478" s="3"/>
      <c r="Q478" s="3"/>
    </row>
    <row r="479" ht="15.75" customHeight="1">
      <c r="A479" s="10">
        <v>478.0</v>
      </c>
      <c r="B479" s="3" t="s">
        <v>1203</v>
      </c>
      <c r="C479" s="3" t="s">
        <v>1376</v>
      </c>
      <c r="D479" s="3" t="s">
        <v>1257</v>
      </c>
      <c r="E479" s="10">
        <v>5.70056378872E11</v>
      </c>
      <c r="F479" s="3" t="s">
        <v>351</v>
      </c>
      <c r="G479" s="3" t="s">
        <v>12</v>
      </c>
      <c r="H479" s="12" t="s">
        <v>1382</v>
      </c>
      <c r="I479" s="3"/>
      <c r="J479" s="3"/>
      <c r="K479" s="3"/>
      <c r="L479" s="3"/>
      <c r="M479" s="3"/>
      <c r="N479" s="3"/>
      <c r="O479" s="3"/>
      <c r="P479" s="3"/>
      <c r="Q479" s="3"/>
    </row>
    <row r="480" ht="15.75" customHeight="1">
      <c r="A480" s="10">
        <v>479.0</v>
      </c>
      <c r="B480" s="3" t="s">
        <v>76</v>
      </c>
      <c r="C480" s="3" t="s">
        <v>861</v>
      </c>
      <c r="D480" s="3" t="s">
        <v>306</v>
      </c>
      <c r="E480" s="8">
        <v>5.70056378875E11</v>
      </c>
      <c r="F480" s="3" t="s">
        <v>1432</v>
      </c>
      <c r="G480" s="3" t="s">
        <v>1433</v>
      </c>
      <c r="H480" s="12" t="s">
        <v>13</v>
      </c>
      <c r="I480" s="3"/>
      <c r="J480" s="3"/>
      <c r="K480" s="3"/>
      <c r="L480" s="3"/>
      <c r="M480" s="3"/>
      <c r="N480" s="3"/>
      <c r="O480" s="3"/>
      <c r="P480" s="3"/>
      <c r="Q480" s="3"/>
    </row>
    <row r="481" ht="15.75" customHeight="1">
      <c r="A481" s="10">
        <v>480.0</v>
      </c>
      <c r="B481" s="3" t="s">
        <v>1315</v>
      </c>
      <c r="C481" s="3" t="s">
        <v>1434</v>
      </c>
      <c r="D481" s="3" t="s">
        <v>1435</v>
      </c>
      <c r="E481" s="10">
        <v>5.70056378879E11</v>
      </c>
      <c r="F481" s="3" t="s">
        <v>1436</v>
      </c>
      <c r="G481" s="3" t="s">
        <v>12</v>
      </c>
      <c r="H481" s="12" t="s">
        <v>1382</v>
      </c>
      <c r="I481" s="3"/>
      <c r="J481" s="3"/>
      <c r="K481" s="3"/>
      <c r="L481" s="3"/>
      <c r="M481" s="3"/>
      <c r="N481" s="3"/>
      <c r="O481" s="3"/>
      <c r="P481" s="3"/>
      <c r="Q481" s="3"/>
    </row>
    <row r="482" ht="15.75" customHeight="1">
      <c r="A482" s="10">
        <v>481.0</v>
      </c>
      <c r="B482" s="3" t="s">
        <v>1437</v>
      </c>
      <c r="C482" s="3" t="s">
        <v>116</v>
      </c>
      <c r="D482" s="3" t="s">
        <v>1438</v>
      </c>
      <c r="E482" s="10">
        <v>5.70056378884E11</v>
      </c>
      <c r="F482" s="3" t="s">
        <v>1439</v>
      </c>
      <c r="G482" s="3" t="s">
        <v>12</v>
      </c>
      <c r="H482" s="12" t="s">
        <v>13</v>
      </c>
      <c r="I482" s="3"/>
      <c r="J482" s="3"/>
      <c r="K482" s="3"/>
      <c r="L482" s="3"/>
      <c r="M482" s="3"/>
      <c r="N482" s="3"/>
      <c r="O482" s="3"/>
      <c r="P482" s="3"/>
      <c r="Q482" s="3"/>
    </row>
    <row r="483" ht="15.75" customHeight="1">
      <c r="A483" s="10">
        <v>482.0</v>
      </c>
      <c r="B483" s="3" t="s">
        <v>498</v>
      </c>
      <c r="C483" s="3" t="s">
        <v>1440</v>
      </c>
      <c r="D483" s="3" t="s">
        <v>1441</v>
      </c>
      <c r="E483" s="10">
        <v>5.70056378885E11</v>
      </c>
      <c r="F483" s="3" t="s">
        <v>1442</v>
      </c>
      <c r="G483" s="3" t="s">
        <v>12</v>
      </c>
      <c r="H483" s="12" t="s">
        <v>13</v>
      </c>
      <c r="I483" s="3"/>
      <c r="J483" s="3"/>
      <c r="K483" s="3"/>
      <c r="L483" s="3"/>
      <c r="M483" s="3"/>
      <c r="N483" s="3"/>
      <c r="O483" s="3"/>
      <c r="P483" s="3"/>
      <c r="Q483" s="3"/>
    </row>
    <row r="484" ht="15.75" customHeight="1">
      <c r="A484" s="10">
        <v>483.0</v>
      </c>
      <c r="B484" s="3" t="s">
        <v>1443</v>
      </c>
      <c r="C484" s="3" t="s">
        <v>506</v>
      </c>
      <c r="D484" s="3" t="s">
        <v>1391</v>
      </c>
      <c r="E484" s="10">
        <v>5.70056378886E11</v>
      </c>
      <c r="F484" s="3" t="s">
        <v>1444</v>
      </c>
      <c r="G484" s="3" t="s">
        <v>12</v>
      </c>
      <c r="H484" s="12" t="s">
        <v>1386</v>
      </c>
      <c r="I484" s="3"/>
      <c r="J484" s="3"/>
      <c r="K484" s="3" t="s">
        <v>89</v>
      </c>
      <c r="L484" s="3"/>
      <c r="M484" s="3"/>
      <c r="N484" s="3"/>
      <c r="O484" s="3"/>
      <c r="P484" s="3"/>
      <c r="Q484" s="3"/>
    </row>
    <row r="485" ht="15.75" customHeight="1">
      <c r="A485" s="10">
        <v>484.0</v>
      </c>
      <c r="B485" s="3" t="s">
        <v>252</v>
      </c>
      <c r="C485" s="3" t="s">
        <v>506</v>
      </c>
      <c r="D485" s="3" t="s">
        <v>732</v>
      </c>
      <c r="E485" s="10">
        <v>5.70056378887E11</v>
      </c>
      <c r="F485" s="3" t="s">
        <v>1445</v>
      </c>
      <c r="G485" s="3" t="s">
        <v>12</v>
      </c>
      <c r="H485" s="12" t="s">
        <v>13</v>
      </c>
      <c r="I485" s="3"/>
      <c r="J485" s="3"/>
      <c r="K485" s="3"/>
      <c r="L485" s="3"/>
      <c r="M485" s="3"/>
      <c r="N485" s="3"/>
      <c r="O485" s="3"/>
      <c r="P485" s="3"/>
      <c r="Q485" s="3"/>
    </row>
    <row r="486" ht="15.75" customHeight="1">
      <c r="A486" s="10">
        <v>485.0</v>
      </c>
      <c r="B486" s="3" t="s">
        <v>1446</v>
      </c>
      <c r="C486" s="3" t="s">
        <v>1447</v>
      </c>
      <c r="D486" s="3" t="s">
        <v>1448</v>
      </c>
      <c r="E486" s="10">
        <v>5.70056378888E11</v>
      </c>
      <c r="F486" s="3" t="s">
        <v>649</v>
      </c>
      <c r="G486" s="3" t="s">
        <v>12</v>
      </c>
      <c r="H486" s="12" t="s">
        <v>1393</v>
      </c>
      <c r="I486" s="3"/>
      <c r="J486" s="3"/>
      <c r="K486" s="3"/>
      <c r="L486" s="3"/>
      <c r="M486" s="3"/>
      <c r="N486" s="3"/>
      <c r="O486" s="3"/>
      <c r="P486" s="3"/>
      <c r="Q486" s="3"/>
    </row>
    <row r="487" ht="15.75" customHeight="1">
      <c r="A487" s="10">
        <v>486.0</v>
      </c>
      <c r="B487" s="3" t="s">
        <v>33</v>
      </c>
      <c r="C487" s="3" t="s">
        <v>1449</v>
      </c>
      <c r="D487" s="3" t="s">
        <v>1450</v>
      </c>
      <c r="E487" s="10">
        <v>5.70056378892E11</v>
      </c>
      <c r="F487" s="3" t="s">
        <v>1451</v>
      </c>
      <c r="G487" s="3" t="s">
        <v>12</v>
      </c>
      <c r="H487" s="12" t="s">
        <v>1382</v>
      </c>
      <c r="I487" s="3"/>
      <c r="J487" s="3"/>
      <c r="K487" s="3"/>
      <c r="L487" s="3"/>
      <c r="M487" s="3"/>
      <c r="N487" s="3"/>
      <c r="O487" s="3"/>
      <c r="P487" s="3"/>
      <c r="Q487" s="3"/>
    </row>
    <row r="488" ht="15.75" customHeight="1">
      <c r="A488" s="10">
        <v>487.0</v>
      </c>
      <c r="B488" s="3" t="s">
        <v>1452</v>
      </c>
      <c r="C488" s="3" t="s">
        <v>1453</v>
      </c>
      <c r="D488" s="3" t="s">
        <v>1454</v>
      </c>
      <c r="E488" s="8">
        <v>5.70056378897E11</v>
      </c>
      <c r="F488" s="3" t="s">
        <v>1455</v>
      </c>
      <c r="G488" s="3" t="s">
        <v>12</v>
      </c>
      <c r="H488" s="12" t="s">
        <v>1382</v>
      </c>
      <c r="I488" s="3"/>
      <c r="J488" s="3"/>
      <c r="K488" s="3"/>
      <c r="L488" s="3"/>
      <c r="M488" s="3"/>
      <c r="N488" s="3"/>
      <c r="O488" s="3"/>
      <c r="P488" s="3"/>
      <c r="Q488" s="3"/>
    </row>
    <row r="489" ht="15.75" customHeight="1">
      <c r="A489" s="10">
        <v>488.0</v>
      </c>
      <c r="B489" s="3" t="s">
        <v>508</v>
      </c>
      <c r="C489" s="3" t="s">
        <v>1456</v>
      </c>
      <c r="D489" s="3" t="s">
        <v>152</v>
      </c>
      <c r="E489" s="10">
        <v>5.70056378898E11</v>
      </c>
      <c r="F489" s="3" t="s">
        <v>1457</v>
      </c>
      <c r="G489" s="3" t="s">
        <v>12</v>
      </c>
      <c r="H489" s="12" t="s">
        <v>1382</v>
      </c>
      <c r="I489" s="3"/>
      <c r="J489" s="3"/>
      <c r="K489" s="3"/>
      <c r="L489" s="3"/>
      <c r="M489" s="3"/>
      <c r="N489" s="3"/>
      <c r="O489" s="3"/>
      <c r="P489" s="3"/>
      <c r="Q489" s="3"/>
    </row>
    <row r="490" ht="15.75" customHeight="1">
      <c r="A490" s="10">
        <v>489.0</v>
      </c>
      <c r="B490" s="3" t="s">
        <v>1458</v>
      </c>
      <c r="C490" s="3" t="s">
        <v>506</v>
      </c>
      <c r="D490" s="3" t="s">
        <v>732</v>
      </c>
      <c r="E490" s="10">
        <v>5.70056378899E11</v>
      </c>
      <c r="F490" s="3" t="s">
        <v>1459</v>
      </c>
      <c r="G490" s="3" t="s">
        <v>12</v>
      </c>
      <c r="H490" s="12" t="s">
        <v>1382</v>
      </c>
      <c r="I490" s="3"/>
      <c r="J490" s="3"/>
      <c r="K490" s="3"/>
      <c r="L490" s="3"/>
      <c r="M490" s="3"/>
      <c r="N490" s="3"/>
      <c r="O490" s="3"/>
      <c r="P490" s="3"/>
      <c r="Q490" s="3"/>
    </row>
    <row r="491" ht="15.75" customHeight="1">
      <c r="A491" s="10">
        <v>490.0</v>
      </c>
      <c r="B491" s="3" t="s">
        <v>751</v>
      </c>
      <c r="C491" s="3" t="s">
        <v>508</v>
      </c>
      <c r="D491" s="3" t="s">
        <v>515</v>
      </c>
      <c r="E491" s="10">
        <v>5.700563789E11</v>
      </c>
      <c r="F491" s="3" t="s">
        <v>1460</v>
      </c>
      <c r="G491" s="3" t="s">
        <v>12</v>
      </c>
      <c r="H491" s="12" t="s">
        <v>13</v>
      </c>
      <c r="I491" s="3"/>
      <c r="J491" s="3"/>
      <c r="K491" s="3"/>
      <c r="L491" s="3"/>
      <c r="M491" s="3"/>
      <c r="N491" s="3"/>
      <c r="O491" s="3"/>
      <c r="P491" s="3"/>
      <c r="Q491" s="3"/>
    </row>
    <row r="492" ht="15.75" customHeight="1">
      <c r="A492" s="10">
        <v>491.0</v>
      </c>
      <c r="B492" s="3" t="s">
        <v>1461</v>
      </c>
      <c r="C492" s="3" t="s">
        <v>1462</v>
      </c>
      <c r="D492" s="3" t="s">
        <v>1463</v>
      </c>
      <c r="E492" s="10">
        <v>5.70056378902E11</v>
      </c>
      <c r="F492" s="3" t="s">
        <v>1464</v>
      </c>
      <c r="G492" s="3" t="s">
        <v>12</v>
      </c>
      <c r="H492" s="12" t="s">
        <v>13</v>
      </c>
      <c r="I492" s="3"/>
      <c r="J492" s="3"/>
      <c r="K492" s="3"/>
      <c r="L492" s="3"/>
      <c r="M492" s="3"/>
      <c r="N492" s="3"/>
      <c r="O492" s="3"/>
      <c r="P492" s="3"/>
      <c r="Q492" s="3"/>
    </row>
    <row r="493" ht="15.75" customHeight="1">
      <c r="A493" s="10">
        <v>492.0</v>
      </c>
      <c r="B493" s="3" t="s">
        <v>1376</v>
      </c>
      <c r="C493" s="3" t="s">
        <v>1461</v>
      </c>
      <c r="D493" s="3" t="s">
        <v>1465</v>
      </c>
      <c r="E493" s="10">
        <v>5.70056378905E11</v>
      </c>
      <c r="F493" s="3" t="s">
        <v>1466</v>
      </c>
      <c r="G493" s="3" t="s">
        <v>12</v>
      </c>
      <c r="H493" s="12" t="s">
        <v>13</v>
      </c>
      <c r="I493" s="3"/>
      <c r="J493" s="3"/>
      <c r="K493" s="3"/>
      <c r="L493" s="3"/>
      <c r="M493" s="3"/>
      <c r="N493" s="3"/>
      <c r="O493" s="3"/>
      <c r="P493" s="3"/>
      <c r="Q493" s="3"/>
    </row>
    <row r="494" ht="15.75" customHeight="1">
      <c r="A494" s="10">
        <v>493.0</v>
      </c>
      <c r="B494" s="3" t="s">
        <v>33</v>
      </c>
      <c r="C494" s="3" t="s">
        <v>87</v>
      </c>
      <c r="D494" s="3" t="s">
        <v>88</v>
      </c>
      <c r="E494" s="10">
        <v>5.70056378909E11</v>
      </c>
      <c r="F494" s="3" t="s">
        <v>1467</v>
      </c>
      <c r="G494" s="3" t="s">
        <v>37</v>
      </c>
      <c r="H494" s="12" t="s">
        <v>13</v>
      </c>
      <c r="I494" s="3"/>
      <c r="J494" s="3"/>
      <c r="K494" s="3"/>
      <c r="L494" s="3"/>
      <c r="M494" s="3"/>
      <c r="N494" s="3"/>
      <c r="O494" s="3"/>
      <c r="P494" s="3"/>
      <c r="Q494" s="3"/>
    </row>
    <row r="495" ht="15.75" customHeight="1">
      <c r="A495" s="10">
        <v>494.0</v>
      </c>
      <c r="B495" s="3" t="s">
        <v>252</v>
      </c>
      <c r="C495" s="3" t="s">
        <v>1468</v>
      </c>
      <c r="D495" s="3" t="s">
        <v>1469</v>
      </c>
      <c r="E495" s="10">
        <v>5.70056378913E11</v>
      </c>
      <c r="F495" s="3" t="s">
        <v>1470</v>
      </c>
      <c r="G495" s="3" t="s">
        <v>37</v>
      </c>
      <c r="H495" s="12" t="s">
        <v>13</v>
      </c>
      <c r="I495" s="3"/>
      <c r="J495" s="3"/>
      <c r="K495" s="3"/>
      <c r="L495" s="3"/>
      <c r="M495" s="3"/>
      <c r="N495" s="3"/>
      <c r="O495" s="3"/>
      <c r="P495" s="3"/>
      <c r="Q495" s="3"/>
    </row>
    <row r="496" ht="15.75" customHeight="1">
      <c r="A496" s="10">
        <v>495.0</v>
      </c>
      <c r="B496" s="3" t="s">
        <v>1471</v>
      </c>
      <c r="C496" s="3" t="s">
        <v>1472</v>
      </c>
      <c r="D496" s="3" t="s">
        <v>779</v>
      </c>
      <c r="E496" s="10">
        <v>5.70056378917E11</v>
      </c>
      <c r="F496" s="3" t="s">
        <v>1473</v>
      </c>
      <c r="G496" s="3" t="s">
        <v>37</v>
      </c>
      <c r="H496" s="12" t="s">
        <v>13</v>
      </c>
      <c r="I496" s="3"/>
      <c r="J496" s="3"/>
      <c r="K496" s="3"/>
      <c r="L496" s="3"/>
      <c r="M496" s="3"/>
      <c r="N496" s="3"/>
      <c r="O496" s="3"/>
      <c r="P496" s="3"/>
      <c r="Q496" s="3"/>
    </row>
    <row r="497" ht="15.75" customHeight="1">
      <c r="A497" s="10">
        <v>496.0</v>
      </c>
      <c r="B497" s="3" t="s">
        <v>1472</v>
      </c>
      <c r="C497" s="3" t="s">
        <v>1474</v>
      </c>
      <c r="D497" s="3" t="s">
        <v>1475</v>
      </c>
      <c r="E497" s="10">
        <v>5.70056378918E11</v>
      </c>
      <c r="F497" s="3" t="s">
        <v>1464</v>
      </c>
      <c r="G497" s="3" t="s">
        <v>12</v>
      </c>
      <c r="H497" s="12" t="s">
        <v>13</v>
      </c>
      <c r="I497" s="3"/>
      <c r="J497" s="3"/>
      <c r="K497" s="3"/>
      <c r="L497" s="3"/>
      <c r="M497" s="3"/>
      <c r="N497" s="3"/>
      <c r="O497" s="3"/>
      <c r="P497" s="3"/>
      <c r="Q497" s="3"/>
    </row>
    <row r="498" ht="15.75" customHeight="1">
      <c r="A498" s="10">
        <v>497.0</v>
      </c>
      <c r="B498" s="3" t="s">
        <v>1476</v>
      </c>
      <c r="C498" s="3" t="s">
        <v>136</v>
      </c>
      <c r="D498" s="3" t="s">
        <v>1477</v>
      </c>
      <c r="E498" s="10">
        <v>5.70056378929E11</v>
      </c>
      <c r="F498" s="3" t="s">
        <v>1478</v>
      </c>
      <c r="G498" s="3" t="s">
        <v>12</v>
      </c>
      <c r="H498" s="12" t="s">
        <v>13</v>
      </c>
      <c r="I498" s="3"/>
      <c r="J498" s="3"/>
      <c r="K498" s="3"/>
      <c r="L498" s="3"/>
      <c r="M498" s="3"/>
      <c r="N498" s="3"/>
      <c r="O498" s="3"/>
      <c r="P498" s="3"/>
      <c r="Q498" s="3"/>
    </row>
    <row r="499" ht="15.75" customHeight="1">
      <c r="A499" s="10">
        <v>498.0</v>
      </c>
      <c r="B499" s="3" t="s">
        <v>1479</v>
      </c>
      <c r="C499" s="3" t="s">
        <v>107</v>
      </c>
      <c r="D499" s="3" t="s">
        <v>100</v>
      </c>
      <c r="E499" s="10">
        <v>5.70056378932E11</v>
      </c>
      <c r="F499" s="3" t="s">
        <v>1480</v>
      </c>
      <c r="G499" s="3" t="s">
        <v>37</v>
      </c>
      <c r="H499" s="12" t="s">
        <v>13</v>
      </c>
      <c r="I499" s="3"/>
      <c r="J499" s="3"/>
      <c r="K499" s="3"/>
      <c r="L499" s="3"/>
      <c r="M499" s="3"/>
      <c r="N499" s="3"/>
      <c r="O499" s="3"/>
      <c r="P499" s="3"/>
      <c r="Q499" s="3"/>
    </row>
    <row r="500" ht="15.75" customHeight="1">
      <c r="A500" s="10">
        <v>499.0</v>
      </c>
      <c r="B500" s="3" t="s">
        <v>1481</v>
      </c>
      <c r="C500" s="3" t="s">
        <v>1482</v>
      </c>
      <c r="D500" s="3" t="s">
        <v>1483</v>
      </c>
      <c r="E500" s="10">
        <v>5.70056378935E11</v>
      </c>
      <c r="F500" s="3" t="s">
        <v>1484</v>
      </c>
      <c r="G500" s="3" t="s">
        <v>12</v>
      </c>
      <c r="H500" s="12" t="s">
        <v>13</v>
      </c>
      <c r="I500" s="3"/>
      <c r="J500" s="3"/>
      <c r="K500" s="3"/>
      <c r="L500" s="3"/>
      <c r="M500" s="3"/>
      <c r="N500" s="3"/>
      <c r="O500" s="3"/>
      <c r="P500" s="3"/>
      <c r="Q500" s="3"/>
    </row>
    <row r="501" ht="15.75" customHeight="1">
      <c r="A501" s="10">
        <v>500.0</v>
      </c>
      <c r="B501" s="3" t="s">
        <v>1315</v>
      </c>
      <c r="C501" s="3" t="s">
        <v>1485</v>
      </c>
      <c r="D501" s="3" t="s">
        <v>700</v>
      </c>
      <c r="E501" s="10">
        <v>5.70056378936E11</v>
      </c>
      <c r="F501" s="3" t="s">
        <v>1486</v>
      </c>
      <c r="G501" s="3" t="s">
        <v>62</v>
      </c>
      <c r="H501" s="12" t="s">
        <v>13</v>
      </c>
      <c r="I501" s="3"/>
      <c r="J501" s="3"/>
      <c r="K501" s="3"/>
      <c r="L501" s="3"/>
      <c r="M501" s="3"/>
      <c r="N501" s="3"/>
      <c r="O501" s="3"/>
      <c r="P501" s="3"/>
      <c r="Q501" s="3"/>
    </row>
    <row r="502" ht="15.75" customHeight="1">
      <c r="A502" s="10">
        <v>501.0</v>
      </c>
      <c r="B502" s="3" t="s">
        <v>1487</v>
      </c>
      <c r="C502" s="3" t="s">
        <v>8</v>
      </c>
      <c r="D502" s="3" t="s">
        <v>1488</v>
      </c>
      <c r="E502" s="10">
        <v>5.70056378942E11</v>
      </c>
      <c r="F502" s="3" t="s">
        <v>405</v>
      </c>
      <c r="G502" s="3" t="s">
        <v>50</v>
      </c>
      <c r="H502" s="12" t="s">
        <v>13</v>
      </c>
      <c r="I502" s="3"/>
      <c r="J502" s="3"/>
      <c r="K502" s="3"/>
      <c r="L502" s="3"/>
      <c r="M502" s="3"/>
      <c r="N502" s="3"/>
      <c r="O502" s="3"/>
      <c r="P502" s="3"/>
      <c r="Q502" s="3"/>
    </row>
    <row r="503" ht="15.75" customHeight="1">
      <c r="A503" s="10">
        <v>502.0</v>
      </c>
      <c r="B503" s="3" t="s">
        <v>1489</v>
      </c>
      <c r="C503" s="3" t="s">
        <v>1490</v>
      </c>
      <c r="D503" s="3" t="s">
        <v>1491</v>
      </c>
      <c r="E503" s="10">
        <v>5.70056378945E11</v>
      </c>
      <c r="F503" s="3" t="s">
        <v>1492</v>
      </c>
      <c r="G503" s="3" t="s">
        <v>12</v>
      </c>
      <c r="H503" s="12" t="s">
        <v>13</v>
      </c>
      <c r="I503" s="3"/>
      <c r="J503" s="3"/>
    </row>
    <row r="504" ht="15.75" customHeight="1">
      <c r="A504" s="10">
        <v>503.0</v>
      </c>
      <c r="B504" s="3" t="s">
        <v>1493</v>
      </c>
      <c r="C504" s="3" t="s">
        <v>1494</v>
      </c>
      <c r="D504" s="3" t="s">
        <v>1495</v>
      </c>
      <c r="E504" s="10">
        <v>5.70056378954E11</v>
      </c>
      <c r="F504" s="3" t="s">
        <v>1496</v>
      </c>
      <c r="G504" s="3" t="s">
        <v>62</v>
      </c>
      <c r="H504" s="12" t="s">
        <v>13</v>
      </c>
      <c r="I504" s="3"/>
      <c r="J504" s="12" t="s">
        <v>89</v>
      </c>
      <c r="K504" s="3"/>
      <c r="L504" s="3"/>
      <c r="M504" s="3"/>
      <c r="N504" s="3"/>
      <c r="O504" s="3"/>
      <c r="P504" s="3"/>
      <c r="Q504" s="3"/>
    </row>
    <row r="505" ht="15.75" customHeight="1">
      <c r="A505" s="10">
        <v>504.0</v>
      </c>
      <c r="B505" s="3" t="s">
        <v>1497</v>
      </c>
      <c r="C505" s="3" t="s">
        <v>1498</v>
      </c>
      <c r="D505" s="3" t="s">
        <v>1499</v>
      </c>
      <c r="E505" s="10">
        <v>5.70056378955E11</v>
      </c>
      <c r="F505" s="3" t="s">
        <v>1500</v>
      </c>
      <c r="G505" s="3" t="s">
        <v>12</v>
      </c>
      <c r="H505" s="12" t="s">
        <v>13</v>
      </c>
      <c r="I505" s="3"/>
      <c r="J505" s="12" t="s">
        <v>89</v>
      </c>
      <c r="K505" s="3"/>
      <c r="L505" s="3"/>
      <c r="M505" s="3"/>
      <c r="N505" s="3"/>
      <c r="O505" s="3"/>
      <c r="P505" s="3"/>
      <c r="Q505" s="3"/>
    </row>
    <row r="506" ht="15.75" customHeight="1">
      <c r="A506" s="10">
        <v>505.0</v>
      </c>
      <c r="B506" s="3" t="s">
        <v>1501</v>
      </c>
      <c r="C506" s="3" t="s">
        <v>1502</v>
      </c>
      <c r="D506" s="3" t="s">
        <v>1503</v>
      </c>
      <c r="E506" s="10">
        <v>5.70056378956E11</v>
      </c>
      <c r="F506" s="3" t="s">
        <v>1504</v>
      </c>
      <c r="G506" s="3" t="s">
        <v>12</v>
      </c>
      <c r="H506" s="12" t="s">
        <v>13</v>
      </c>
      <c r="I506" s="3"/>
      <c r="J506" s="12" t="s">
        <v>89</v>
      </c>
      <c r="K506" s="3"/>
      <c r="L506" s="3"/>
      <c r="M506" s="3"/>
      <c r="N506" s="3"/>
      <c r="O506" s="3"/>
      <c r="P506" s="3"/>
      <c r="Q506" s="3"/>
    </row>
    <row r="507" ht="15.75" customHeight="1">
      <c r="A507" s="10">
        <v>506.0</v>
      </c>
      <c r="B507" s="3" t="s">
        <v>1505</v>
      </c>
      <c r="C507" s="3" t="s">
        <v>1506</v>
      </c>
      <c r="D507" s="3" t="s">
        <v>1507</v>
      </c>
      <c r="E507" s="10">
        <v>5.70056378958E11</v>
      </c>
      <c r="F507" s="3" t="s">
        <v>1508</v>
      </c>
      <c r="G507" s="3" t="s">
        <v>12</v>
      </c>
      <c r="H507" s="12" t="s">
        <v>13</v>
      </c>
      <c r="I507" s="3"/>
      <c r="J507" s="12" t="s">
        <v>89</v>
      </c>
      <c r="K507" s="3"/>
      <c r="L507" s="3"/>
      <c r="M507" s="3"/>
      <c r="N507" s="3"/>
      <c r="O507" s="3"/>
      <c r="P507" s="3"/>
      <c r="Q507" s="3"/>
    </row>
    <row r="508" ht="15.75" customHeight="1">
      <c r="A508" s="10">
        <v>507.0</v>
      </c>
      <c r="B508" s="3" t="s">
        <v>1509</v>
      </c>
      <c r="C508" s="3" t="s">
        <v>1510</v>
      </c>
      <c r="D508" s="3" t="s">
        <v>1511</v>
      </c>
      <c r="E508" s="10">
        <v>5.70056378959E11</v>
      </c>
      <c r="F508" s="3" t="s">
        <v>1512</v>
      </c>
      <c r="G508" s="3" t="s">
        <v>651</v>
      </c>
      <c r="H508" s="12" t="s">
        <v>13</v>
      </c>
      <c r="I508" s="3"/>
      <c r="J508" s="12" t="s">
        <v>89</v>
      </c>
      <c r="K508" s="3"/>
      <c r="L508" s="3"/>
      <c r="M508" s="3"/>
      <c r="N508" s="3"/>
      <c r="O508" s="3"/>
      <c r="P508" s="3"/>
      <c r="Q508" s="3"/>
    </row>
    <row r="509" ht="15.75" customHeight="1">
      <c r="A509" s="10">
        <v>508.0</v>
      </c>
      <c r="B509" s="3" t="s">
        <v>1513</v>
      </c>
      <c r="C509" s="3" t="s">
        <v>1514</v>
      </c>
      <c r="D509" s="3" t="s">
        <v>1515</v>
      </c>
      <c r="E509" s="10">
        <v>5.7005637896E11</v>
      </c>
      <c r="F509" s="3" t="s">
        <v>1516</v>
      </c>
      <c r="G509" s="3" t="s">
        <v>12</v>
      </c>
      <c r="H509" s="12" t="s">
        <v>13</v>
      </c>
      <c r="I509" s="3"/>
      <c r="J509" s="12" t="s">
        <v>89</v>
      </c>
      <c r="K509" s="3"/>
      <c r="L509" s="3"/>
      <c r="M509" s="3"/>
      <c r="N509" s="3"/>
      <c r="O509" s="3"/>
      <c r="P509" s="3"/>
      <c r="Q509" s="3"/>
    </row>
    <row r="510" ht="15.75" customHeight="1">
      <c r="A510" s="10">
        <v>509.0</v>
      </c>
      <c r="B510" s="3" t="s">
        <v>1514</v>
      </c>
      <c r="C510" s="3" t="s">
        <v>1517</v>
      </c>
      <c r="D510" s="3" t="s">
        <v>1518</v>
      </c>
      <c r="E510" s="10">
        <v>5.70056378961E11</v>
      </c>
      <c r="F510" s="3" t="s">
        <v>1519</v>
      </c>
      <c r="G510" s="3" t="s">
        <v>12</v>
      </c>
      <c r="H510" s="12" t="s">
        <v>13</v>
      </c>
      <c r="I510" s="3"/>
      <c r="J510" s="12" t="s">
        <v>89</v>
      </c>
      <c r="K510" s="3"/>
      <c r="L510" s="3"/>
      <c r="M510" s="3"/>
      <c r="N510" s="3"/>
      <c r="O510" s="3"/>
      <c r="P510" s="3"/>
      <c r="Q510" s="3"/>
    </row>
    <row r="511" ht="15.75" customHeight="1">
      <c r="A511" s="10">
        <v>510.0</v>
      </c>
      <c r="B511" s="3" t="s">
        <v>1520</v>
      </c>
      <c r="C511" s="3" t="s">
        <v>1521</v>
      </c>
      <c r="D511" s="3" t="s">
        <v>1522</v>
      </c>
      <c r="E511" s="10">
        <v>5.70056378963E11</v>
      </c>
      <c r="F511" s="3" t="s">
        <v>1523</v>
      </c>
      <c r="G511" s="3" t="s">
        <v>12</v>
      </c>
      <c r="H511" s="12" t="s">
        <v>13</v>
      </c>
      <c r="I511" s="3"/>
      <c r="J511" s="12" t="s">
        <v>89</v>
      </c>
      <c r="K511" s="3"/>
      <c r="L511" s="3"/>
      <c r="M511" s="3"/>
      <c r="N511" s="3"/>
      <c r="O511" s="3"/>
      <c r="P511" s="3"/>
      <c r="Q511" s="3"/>
    </row>
    <row r="512" ht="15.75" customHeight="1">
      <c r="A512" s="10">
        <v>511.0</v>
      </c>
      <c r="B512" s="3" t="s">
        <v>1524</v>
      </c>
      <c r="C512" s="3" t="s">
        <v>1517</v>
      </c>
      <c r="D512" s="3" t="s">
        <v>1518</v>
      </c>
      <c r="E512" s="10">
        <v>5.70056378964E11</v>
      </c>
      <c r="F512" s="3" t="s">
        <v>1525</v>
      </c>
      <c r="G512" s="3" t="s">
        <v>12</v>
      </c>
      <c r="H512" s="12" t="s">
        <v>13</v>
      </c>
      <c r="I512" s="3"/>
      <c r="J512" s="12" t="s">
        <v>89</v>
      </c>
      <c r="K512" s="3"/>
      <c r="L512" s="3"/>
      <c r="M512" s="3"/>
      <c r="N512" s="3"/>
      <c r="O512" s="3"/>
      <c r="P512" s="3"/>
      <c r="Q512" s="3"/>
    </row>
    <row r="513" ht="15.75" customHeight="1">
      <c r="A513" s="10">
        <v>512.0</v>
      </c>
      <c r="B513" s="3" t="s">
        <v>1526</v>
      </c>
      <c r="C513" s="3" t="s">
        <v>1527</v>
      </c>
      <c r="D513" s="3" t="s">
        <v>1528</v>
      </c>
      <c r="E513" s="10">
        <v>5.70056378966E11</v>
      </c>
      <c r="F513" s="3" t="s">
        <v>1529</v>
      </c>
      <c r="G513" s="3" t="s">
        <v>12</v>
      </c>
      <c r="H513" s="12" t="s">
        <v>13</v>
      </c>
      <c r="I513" s="3"/>
      <c r="J513" s="12" t="s">
        <v>89</v>
      </c>
      <c r="K513" s="3"/>
      <c r="L513" s="3"/>
      <c r="M513" s="3"/>
      <c r="N513" s="3"/>
      <c r="O513" s="3"/>
      <c r="P513" s="3"/>
      <c r="Q513" s="3"/>
    </row>
    <row r="514" ht="15.75" customHeight="1">
      <c r="A514" s="10">
        <v>513.0</v>
      </c>
      <c r="B514" s="3" t="s">
        <v>1530</v>
      </c>
      <c r="C514" s="3" t="s">
        <v>1527</v>
      </c>
      <c r="D514" s="3" t="s">
        <v>1528</v>
      </c>
      <c r="E514" s="10">
        <v>5.7005637897E11</v>
      </c>
      <c r="F514" s="3" t="s">
        <v>1531</v>
      </c>
      <c r="G514" s="3" t="s">
        <v>12</v>
      </c>
      <c r="H514" s="12" t="s">
        <v>13</v>
      </c>
      <c r="I514" s="3"/>
      <c r="J514" s="12" t="s">
        <v>89</v>
      </c>
      <c r="K514" s="3"/>
      <c r="L514" s="3"/>
      <c r="M514" s="3"/>
      <c r="N514" s="3"/>
      <c r="O514" s="3"/>
      <c r="P514" s="3"/>
      <c r="Q514" s="3"/>
    </row>
    <row r="515" ht="15.75" customHeight="1">
      <c r="A515" s="10">
        <v>514.0</v>
      </c>
      <c r="B515" s="3" t="s">
        <v>1532</v>
      </c>
      <c r="C515" s="3" t="s">
        <v>1517</v>
      </c>
      <c r="D515" s="3" t="s">
        <v>1518</v>
      </c>
      <c r="E515" s="10">
        <v>5.70056378972E11</v>
      </c>
      <c r="F515" s="3" t="s">
        <v>1533</v>
      </c>
      <c r="G515" s="3" t="s">
        <v>37</v>
      </c>
      <c r="H515" s="12" t="s">
        <v>13</v>
      </c>
      <c r="I515" s="3"/>
      <c r="J515" s="12" t="s">
        <v>89</v>
      </c>
      <c r="K515" s="3"/>
      <c r="L515" s="3"/>
      <c r="M515" s="3"/>
      <c r="N515" s="3"/>
      <c r="O515" s="3"/>
      <c r="P515" s="3"/>
      <c r="Q515" s="3"/>
    </row>
    <row r="516" ht="15.75" customHeight="1">
      <c r="A516" s="10">
        <v>515.0</v>
      </c>
      <c r="B516" s="3" t="s">
        <v>1534</v>
      </c>
      <c r="C516" s="3" t="s">
        <v>1517</v>
      </c>
      <c r="D516" s="3" t="s">
        <v>1518</v>
      </c>
      <c r="E516" s="10">
        <v>5.70056378977E11</v>
      </c>
      <c r="F516" s="3" t="s">
        <v>1535</v>
      </c>
      <c r="G516" s="3" t="s">
        <v>12</v>
      </c>
      <c r="H516" s="12" t="s">
        <v>13</v>
      </c>
      <c r="I516" s="3"/>
      <c r="J516" s="12" t="s">
        <v>89</v>
      </c>
      <c r="K516" s="3"/>
      <c r="L516" s="3"/>
      <c r="M516" s="3"/>
      <c r="N516" s="3"/>
      <c r="O516" s="3"/>
      <c r="P516" s="3"/>
      <c r="Q516" s="3"/>
    </row>
    <row r="517" ht="15.75" customHeight="1">
      <c r="A517" s="10">
        <v>516.0</v>
      </c>
      <c r="B517" s="3" t="s">
        <v>1536</v>
      </c>
      <c r="C517" s="3" t="s">
        <v>1517</v>
      </c>
      <c r="D517" s="3" t="s">
        <v>1518</v>
      </c>
      <c r="E517" s="10">
        <v>5.7005637898E11</v>
      </c>
      <c r="F517" s="3" t="s">
        <v>377</v>
      </c>
      <c r="G517" s="3" t="s">
        <v>37</v>
      </c>
      <c r="H517" s="12" t="s">
        <v>13</v>
      </c>
      <c r="I517" s="3"/>
      <c r="J517" s="12" t="s">
        <v>89</v>
      </c>
      <c r="K517" s="3"/>
      <c r="L517" s="3"/>
      <c r="M517" s="3"/>
      <c r="N517" s="3"/>
      <c r="O517" s="3"/>
      <c r="P517" s="3"/>
      <c r="Q517" s="3"/>
    </row>
    <row r="518" ht="15.75" customHeight="1">
      <c r="A518" s="10">
        <v>517.0</v>
      </c>
      <c r="B518" s="3" t="s">
        <v>1537</v>
      </c>
      <c r="C518" s="3" t="s">
        <v>1538</v>
      </c>
      <c r="D518" s="3" t="s">
        <v>1539</v>
      </c>
      <c r="E518" s="10">
        <v>5.70056378981E11</v>
      </c>
      <c r="F518" s="3" t="s">
        <v>1540</v>
      </c>
      <c r="G518" s="3" t="s">
        <v>37</v>
      </c>
      <c r="H518" s="12" t="s">
        <v>13</v>
      </c>
      <c r="I518" s="3"/>
      <c r="J518" s="12" t="s">
        <v>89</v>
      </c>
      <c r="K518" s="3"/>
      <c r="L518" s="3"/>
      <c r="M518" s="3"/>
      <c r="N518" s="3"/>
      <c r="O518" s="3"/>
      <c r="P518" s="3"/>
      <c r="Q518" s="3"/>
    </row>
    <row r="519" ht="15.75" customHeight="1">
      <c r="A519" s="10">
        <v>518.0</v>
      </c>
      <c r="B519" s="3" t="s">
        <v>1541</v>
      </c>
      <c r="C519" s="3" t="s">
        <v>1542</v>
      </c>
      <c r="D519" s="3" t="s">
        <v>1543</v>
      </c>
      <c r="E519" s="10">
        <v>5.70056378989E11</v>
      </c>
      <c r="F519" s="3" t="s">
        <v>1544</v>
      </c>
      <c r="G519" s="3" t="s">
        <v>651</v>
      </c>
      <c r="H519" s="12" t="s">
        <v>13</v>
      </c>
      <c r="I519" s="3"/>
      <c r="J519" s="12" t="s">
        <v>89</v>
      </c>
      <c r="K519" s="3"/>
      <c r="L519" s="3"/>
      <c r="M519" s="3"/>
      <c r="N519" s="3"/>
      <c r="O519" s="3"/>
      <c r="P519" s="3"/>
      <c r="Q519" s="3"/>
    </row>
    <row r="520" ht="15.75" customHeight="1">
      <c r="A520" s="10">
        <v>519.0</v>
      </c>
      <c r="B520" s="3" t="s">
        <v>1545</v>
      </c>
      <c r="C520" s="3" t="s">
        <v>206</v>
      </c>
      <c r="D520" s="3" t="s">
        <v>1546</v>
      </c>
      <c r="E520" s="10">
        <v>5.7005637899E11</v>
      </c>
      <c r="F520" s="3" t="s">
        <v>1547</v>
      </c>
      <c r="G520" s="3" t="s">
        <v>62</v>
      </c>
      <c r="H520" s="12" t="s">
        <v>13</v>
      </c>
      <c r="I520" s="3"/>
      <c r="J520" s="12" t="s">
        <v>89</v>
      </c>
      <c r="K520" s="3"/>
      <c r="L520" s="3"/>
      <c r="M520" s="3"/>
      <c r="N520" s="3"/>
      <c r="O520" s="3"/>
      <c r="P520" s="3"/>
      <c r="Q520" s="3"/>
    </row>
    <row r="521" ht="15.75" customHeight="1">
      <c r="A521" s="10">
        <v>520.0</v>
      </c>
      <c r="B521" s="3" t="s">
        <v>1548</v>
      </c>
      <c r="C521" s="3" t="s">
        <v>1517</v>
      </c>
      <c r="D521" s="3" t="s">
        <v>1518</v>
      </c>
      <c r="E521" s="10">
        <v>5.70056378991E11</v>
      </c>
      <c r="F521" s="3" t="s">
        <v>1549</v>
      </c>
      <c r="G521" s="3" t="s">
        <v>1419</v>
      </c>
      <c r="H521" s="12" t="s">
        <v>13</v>
      </c>
      <c r="I521" s="3"/>
      <c r="J521" s="12" t="s">
        <v>89</v>
      </c>
      <c r="K521" s="3"/>
      <c r="L521" s="3"/>
      <c r="M521" s="3"/>
      <c r="N521" s="3"/>
      <c r="O521" s="3"/>
      <c r="P521" s="3"/>
      <c r="Q521" s="3"/>
    </row>
    <row r="522" ht="15.75" customHeight="1">
      <c r="A522" s="10">
        <v>521.0</v>
      </c>
      <c r="B522" s="3" t="s">
        <v>1550</v>
      </c>
      <c r="C522" s="3" t="s">
        <v>1551</v>
      </c>
      <c r="D522" s="3" t="s">
        <v>1552</v>
      </c>
      <c r="E522" s="10">
        <v>5.70056378993E11</v>
      </c>
      <c r="F522" s="3" t="s">
        <v>1553</v>
      </c>
      <c r="G522" s="3" t="s">
        <v>12</v>
      </c>
      <c r="H522" s="12" t="s">
        <v>13</v>
      </c>
      <c r="I522" s="3"/>
      <c r="J522" s="12" t="s">
        <v>89</v>
      </c>
      <c r="K522" s="3"/>
      <c r="L522" s="3"/>
      <c r="M522" s="3"/>
      <c r="N522" s="3"/>
      <c r="O522" s="3"/>
      <c r="P522" s="3"/>
      <c r="Q522" s="3"/>
    </row>
    <row r="523" ht="15.75" customHeight="1">
      <c r="A523" s="10">
        <v>522.0</v>
      </c>
      <c r="B523" s="3" t="s">
        <v>1554</v>
      </c>
      <c r="C523" s="3" t="s">
        <v>1555</v>
      </c>
      <c r="D523" s="3" t="s">
        <v>1556</v>
      </c>
      <c r="E523" s="10">
        <v>5.70056378999E11</v>
      </c>
      <c r="F523" s="3" t="s">
        <v>123</v>
      </c>
      <c r="G523" s="3" t="s">
        <v>12</v>
      </c>
      <c r="H523" s="12" t="s">
        <v>13</v>
      </c>
      <c r="I523" s="3"/>
      <c r="J523" s="12" t="s">
        <v>89</v>
      </c>
      <c r="K523" s="3"/>
      <c r="L523" s="3"/>
      <c r="M523" s="3"/>
      <c r="N523" s="3"/>
      <c r="O523" s="3"/>
      <c r="P523" s="3"/>
      <c r="Q523" s="3"/>
    </row>
    <row r="524" ht="15.75" customHeight="1">
      <c r="A524" s="10">
        <v>523.0</v>
      </c>
      <c r="B524" s="3" t="s">
        <v>1557</v>
      </c>
      <c r="C524" s="3" t="s">
        <v>1558</v>
      </c>
      <c r="D524" s="3" t="s">
        <v>1556</v>
      </c>
      <c r="E524" s="10">
        <v>5.70056379E11</v>
      </c>
      <c r="F524" s="3" t="s">
        <v>1559</v>
      </c>
      <c r="G524" s="3" t="s">
        <v>12</v>
      </c>
      <c r="H524" s="12" t="s">
        <v>13</v>
      </c>
      <c r="I524" s="3"/>
      <c r="J524" s="12" t="s">
        <v>89</v>
      </c>
      <c r="K524" s="3"/>
      <c r="L524" s="3"/>
      <c r="M524" s="3"/>
      <c r="N524" s="3"/>
      <c r="O524" s="3"/>
      <c r="P524" s="3"/>
      <c r="Q524" s="3"/>
    </row>
    <row r="525" ht="15.75" customHeight="1">
      <c r="A525" s="10">
        <v>524.0</v>
      </c>
      <c r="B525" s="3" t="s">
        <v>1560</v>
      </c>
      <c r="C525" s="3" t="s">
        <v>1561</v>
      </c>
      <c r="D525" s="3" t="s">
        <v>1562</v>
      </c>
      <c r="E525" s="10">
        <v>5.70056448631E11</v>
      </c>
      <c r="F525" s="3" t="s">
        <v>147</v>
      </c>
      <c r="G525" s="3" t="s">
        <v>12</v>
      </c>
      <c r="H525" s="12" t="s">
        <v>13</v>
      </c>
      <c r="I525" s="3"/>
      <c r="J525" s="12" t="s">
        <v>89</v>
      </c>
      <c r="K525" s="3"/>
      <c r="L525" s="3"/>
      <c r="M525" s="3"/>
      <c r="N525" s="3"/>
      <c r="O525" s="3"/>
      <c r="P525" s="3"/>
      <c r="Q525" s="3"/>
    </row>
    <row r="526" ht="15.75" customHeight="1">
      <c r="A526" s="10">
        <v>525.0</v>
      </c>
      <c r="B526" s="3" t="s">
        <v>1563</v>
      </c>
      <c r="C526" s="3" t="s">
        <v>1557</v>
      </c>
      <c r="D526" s="3" t="s">
        <v>1564</v>
      </c>
      <c r="E526" s="10">
        <v>5.70056000001E11</v>
      </c>
      <c r="F526" s="3" t="s">
        <v>1565</v>
      </c>
      <c r="G526" s="3" t="s">
        <v>1356</v>
      </c>
      <c r="H526" s="12" t="s">
        <v>13</v>
      </c>
      <c r="I526" s="3"/>
      <c r="J526" s="12" t="s">
        <v>89</v>
      </c>
      <c r="K526" s="3"/>
      <c r="L526" s="3"/>
      <c r="M526" s="3"/>
      <c r="N526" s="3"/>
      <c r="O526" s="3"/>
      <c r="P526" s="3"/>
      <c r="Q526" s="3"/>
    </row>
    <row r="527" ht="15.75" customHeight="1">
      <c r="A527" s="10">
        <v>526.0</v>
      </c>
      <c r="B527" s="3" t="s">
        <v>1566</v>
      </c>
      <c r="C527" s="3" t="s">
        <v>1567</v>
      </c>
      <c r="D527" s="3" t="s">
        <v>1568</v>
      </c>
      <c r="E527" s="10">
        <v>5.7005600001E11</v>
      </c>
      <c r="F527" s="3" t="s">
        <v>1569</v>
      </c>
      <c r="G527" s="3" t="s">
        <v>37</v>
      </c>
      <c r="H527" s="12" t="s">
        <v>13</v>
      </c>
      <c r="I527" s="3"/>
      <c r="J527" s="12" t="s">
        <v>89</v>
      </c>
      <c r="K527" s="3"/>
      <c r="L527" s="3"/>
      <c r="M527" s="3"/>
      <c r="N527" s="3"/>
      <c r="O527" s="3"/>
      <c r="P527" s="3"/>
      <c r="Q527" s="3"/>
    </row>
    <row r="528" ht="15.75" customHeight="1">
      <c r="A528" s="10">
        <v>527.0</v>
      </c>
      <c r="B528" s="3" t="s">
        <v>1570</v>
      </c>
      <c r="C528" s="3" t="s">
        <v>1571</v>
      </c>
      <c r="D528" s="3" t="s">
        <v>1572</v>
      </c>
      <c r="E528" s="10">
        <v>5.70056000012E11</v>
      </c>
      <c r="F528" s="3" t="s">
        <v>1573</v>
      </c>
      <c r="G528" s="3" t="s">
        <v>12</v>
      </c>
      <c r="H528" s="12" t="s">
        <v>13</v>
      </c>
      <c r="I528" s="3"/>
      <c r="J528" s="12" t="s">
        <v>89</v>
      </c>
      <c r="K528" s="3"/>
      <c r="L528" s="3"/>
      <c r="M528" s="3"/>
      <c r="N528" s="3"/>
      <c r="O528" s="3"/>
      <c r="P528" s="3"/>
      <c r="Q528" s="3"/>
    </row>
    <row r="529" ht="15.75" customHeight="1">
      <c r="A529" s="10">
        <v>528.0</v>
      </c>
      <c r="B529" s="3" t="s">
        <v>1574</v>
      </c>
      <c r="C529" s="3" t="s">
        <v>1575</v>
      </c>
      <c r="D529" s="3" t="s">
        <v>1576</v>
      </c>
      <c r="E529" s="10">
        <v>5.70056000014E11</v>
      </c>
      <c r="F529" s="3" t="s">
        <v>832</v>
      </c>
      <c r="G529" s="3" t="s">
        <v>1356</v>
      </c>
      <c r="H529" s="12" t="s">
        <v>13</v>
      </c>
      <c r="I529" s="3"/>
      <c r="J529" s="12" t="s">
        <v>89</v>
      </c>
      <c r="K529" s="3"/>
      <c r="L529" s="3"/>
      <c r="M529" s="3"/>
      <c r="N529" s="3"/>
      <c r="O529" s="3"/>
      <c r="P529" s="3"/>
      <c r="Q529" s="3"/>
    </row>
    <row r="530" ht="15.75" customHeight="1">
      <c r="A530" s="10">
        <v>529.0</v>
      </c>
      <c r="B530" s="3" t="s">
        <v>1577</v>
      </c>
      <c r="C530" s="3" t="s">
        <v>1578</v>
      </c>
      <c r="D530" s="3" t="s">
        <v>1579</v>
      </c>
      <c r="E530" s="10">
        <v>5.70056000017E11</v>
      </c>
      <c r="F530" s="3" t="s">
        <v>913</v>
      </c>
      <c r="G530" s="3" t="s">
        <v>12</v>
      </c>
      <c r="H530" s="12" t="s">
        <v>13</v>
      </c>
      <c r="I530" s="3"/>
      <c r="J530" s="12" t="s">
        <v>89</v>
      </c>
      <c r="K530" s="3"/>
      <c r="L530" s="3"/>
      <c r="M530" s="3"/>
      <c r="N530" s="3"/>
      <c r="O530" s="3"/>
      <c r="P530" s="3"/>
      <c r="Q530" s="3"/>
    </row>
    <row r="531" ht="15.75" customHeight="1">
      <c r="A531" s="10">
        <v>530.0</v>
      </c>
      <c r="B531" s="3" t="s">
        <v>1580</v>
      </c>
      <c r="C531" s="3" t="s">
        <v>1581</v>
      </c>
      <c r="D531" s="3" t="s">
        <v>1582</v>
      </c>
      <c r="E531" s="10">
        <v>5.70056000018E11</v>
      </c>
      <c r="F531" s="3" t="s">
        <v>82</v>
      </c>
      <c r="G531" s="3" t="s">
        <v>12</v>
      </c>
      <c r="H531" s="12" t="s">
        <v>13</v>
      </c>
      <c r="I531" s="3"/>
      <c r="J531" s="12" t="s">
        <v>89</v>
      </c>
      <c r="K531" s="3"/>
      <c r="L531" s="3"/>
      <c r="M531" s="3"/>
      <c r="N531" s="3"/>
      <c r="O531" s="3"/>
      <c r="P531" s="3"/>
      <c r="Q531" s="3"/>
    </row>
    <row r="532" ht="15.75" customHeight="1">
      <c r="A532" s="10">
        <v>531.0</v>
      </c>
      <c r="B532" s="3" t="s">
        <v>1583</v>
      </c>
      <c r="C532" s="3" t="s">
        <v>1584</v>
      </c>
      <c r="D532" s="3" t="s">
        <v>1585</v>
      </c>
      <c r="E532" s="10">
        <v>5.70056000019E11</v>
      </c>
      <c r="F532" s="3" t="s">
        <v>1586</v>
      </c>
      <c r="G532" s="3" t="s">
        <v>50</v>
      </c>
      <c r="H532" s="12" t="s">
        <v>13</v>
      </c>
      <c r="I532" s="3"/>
      <c r="J532" s="12" t="s">
        <v>89</v>
      </c>
      <c r="K532" s="3"/>
      <c r="L532" s="3"/>
      <c r="M532" s="3"/>
      <c r="N532" s="3"/>
      <c r="O532" s="3"/>
      <c r="P532" s="3"/>
      <c r="Q532" s="3"/>
    </row>
    <row r="533" ht="15.75" customHeight="1">
      <c r="A533" s="10">
        <v>532.0</v>
      </c>
      <c r="B533" s="3" t="s">
        <v>1587</v>
      </c>
      <c r="C533" s="3" t="s">
        <v>1588</v>
      </c>
      <c r="D533" s="3" t="s">
        <v>1589</v>
      </c>
      <c r="E533" s="10">
        <v>5.7005600002E11</v>
      </c>
      <c r="F533" s="3" t="s">
        <v>1590</v>
      </c>
      <c r="G533" s="3" t="s">
        <v>12</v>
      </c>
      <c r="H533" s="12" t="s">
        <v>13</v>
      </c>
      <c r="I533" s="3"/>
      <c r="J533" s="12" t="s">
        <v>89</v>
      </c>
      <c r="K533" s="3"/>
      <c r="L533" s="3"/>
      <c r="M533" s="3"/>
      <c r="N533" s="3"/>
      <c r="O533" s="3"/>
      <c r="P533" s="3"/>
      <c r="Q533" s="3"/>
    </row>
    <row r="534" ht="15.75" customHeight="1">
      <c r="A534" s="10">
        <v>533.0</v>
      </c>
      <c r="B534" s="3" t="s">
        <v>1591</v>
      </c>
      <c r="C534" s="3" t="s">
        <v>1592</v>
      </c>
      <c r="D534" s="3" t="s">
        <v>1593</v>
      </c>
      <c r="E534" s="10">
        <v>5.70056000021E11</v>
      </c>
      <c r="F534" s="3" t="s">
        <v>405</v>
      </c>
      <c r="G534" s="3" t="s">
        <v>12</v>
      </c>
      <c r="H534" s="12" t="s">
        <v>13</v>
      </c>
      <c r="I534" s="3"/>
      <c r="J534" s="12" t="s">
        <v>89</v>
      </c>
      <c r="K534" s="3"/>
      <c r="L534" s="3"/>
      <c r="M534" s="3"/>
      <c r="N534" s="3"/>
      <c r="O534" s="3"/>
      <c r="P534" s="3"/>
      <c r="Q534" s="3"/>
    </row>
    <row r="535" ht="15.75" customHeight="1">
      <c r="A535" s="10">
        <v>534.0</v>
      </c>
      <c r="B535" s="3" t="s">
        <v>1594</v>
      </c>
      <c r="C535" s="3" t="s">
        <v>1595</v>
      </c>
      <c r="D535" s="3" t="s">
        <v>1596</v>
      </c>
      <c r="E535" s="10">
        <v>5.70056000023E11</v>
      </c>
      <c r="F535" s="3" t="s">
        <v>1597</v>
      </c>
      <c r="G535" s="3" t="s">
        <v>1598</v>
      </c>
      <c r="H535" s="12" t="s">
        <v>13</v>
      </c>
      <c r="I535" s="3"/>
      <c r="J535" s="12" t="s">
        <v>89</v>
      </c>
      <c r="K535" s="3"/>
      <c r="L535" s="3"/>
      <c r="M535" s="3"/>
      <c r="N535" s="3"/>
      <c r="O535" s="3"/>
      <c r="P535" s="3"/>
      <c r="Q535" s="3"/>
    </row>
    <row r="536" ht="15.75" customHeight="1">
      <c r="A536" s="10">
        <v>535.0</v>
      </c>
      <c r="B536" s="3" t="s">
        <v>1599</v>
      </c>
      <c r="C536" s="3" t="s">
        <v>1600</v>
      </c>
      <c r="D536" s="3" t="s">
        <v>1601</v>
      </c>
      <c r="E536" s="10">
        <v>5.70056000025E11</v>
      </c>
      <c r="F536" s="3" t="s">
        <v>1590</v>
      </c>
      <c r="G536" s="3" t="s">
        <v>12</v>
      </c>
      <c r="H536" s="12" t="s">
        <v>13</v>
      </c>
      <c r="I536" s="3"/>
      <c r="J536" s="12" t="s">
        <v>89</v>
      </c>
      <c r="K536" s="3"/>
      <c r="L536" s="3"/>
      <c r="M536" s="3"/>
      <c r="N536" s="3"/>
      <c r="O536" s="3"/>
      <c r="P536" s="3"/>
      <c r="Q536" s="3"/>
    </row>
    <row r="537" ht="15.75" customHeight="1">
      <c r="A537" s="10">
        <v>536.0</v>
      </c>
      <c r="B537" s="3" t="s">
        <v>1602</v>
      </c>
      <c r="C537" s="3" t="s">
        <v>472</v>
      </c>
      <c r="D537" s="3" t="s">
        <v>1603</v>
      </c>
      <c r="E537" s="10">
        <v>5.70056000026E11</v>
      </c>
      <c r="F537" s="3" t="s">
        <v>32</v>
      </c>
      <c r="G537" s="3" t="s">
        <v>12</v>
      </c>
      <c r="H537" s="12" t="s">
        <v>13</v>
      </c>
      <c r="I537" s="3"/>
      <c r="J537" s="12" t="s">
        <v>89</v>
      </c>
      <c r="K537" s="3"/>
      <c r="L537" s="3"/>
      <c r="M537" s="3"/>
      <c r="N537" s="3"/>
      <c r="O537" s="3"/>
      <c r="P537" s="3"/>
      <c r="Q537" s="3"/>
    </row>
    <row r="538" ht="15.75" customHeight="1">
      <c r="A538" s="10">
        <v>537.0</v>
      </c>
      <c r="B538" s="3" t="s">
        <v>1604</v>
      </c>
      <c r="C538" s="3" t="s">
        <v>1605</v>
      </c>
      <c r="D538" s="3" t="s">
        <v>1606</v>
      </c>
      <c r="E538" s="10">
        <v>5.70056000027E11</v>
      </c>
      <c r="F538" s="3" t="s">
        <v>1607</v>
      </c>
      <c r="G538" s="3" t="s">
        <v>12</v>
      </c>
      <c r="H538" s="12" t="s">
        <v>13</v>
      </c>
      <c r="I538" s="3"/>
      <c r="J538" s="12" t="s">
        <v>89</v>
      </c>
      <c r="K538" s="3"/>
      <c r="L538" s="3"/>
      <c r="M538" s="3"/>
      <c r="N538" s="3"/>
      <c r="O538" s="3"/>
      <c r="P538" s="3"/>
      <c r="Q538" s="3"/>
    </row>
    <row r="539" ht="15.75" customHeight="1">
      <c r="A539" s="10">
        <v>538.0</v>
      </c>
      <c r="B539" s="3" t="s">
        <v>1608</v>
      </c>
      <c r="C539" s="3" t="s">
        <v>1609</v>
      </c>
      <c r="D539" s="3" t="s">
        <v>1576</v>
      </c>
      <c r="E539" s="10">
        <v>5.70056000028E11</v>
      </c>
      <c r="F539" s="3" t="s">
        <v>1445</v>
      </c>
      <c r="G539" s="3" t="s">
        <v>12</v>
      </c>
      <c r="H539" s="12" t="s">
        <v>13</v>
      </c>
      <c r="I539" s="3"/>
      <c r="J539" s="12" t="s">
        <v>89</v>
      </c>
      <c r="K539" s="3"/>
      <c r="L539" s="3"/>
      <c r="M539" s="3"/>
      <c r="N539" s="3"/>
      <c r="O539" s="3"/>
      <c r="P539" s="3"/>
      <c r="Q539" s="3"/>
    </row>
    <row r="540" ht="15.75" customHeight="1">
      <c r="A540" s="10">
        <v>539.0</v>
      </c>
      <c r="B540" s="3" t="s">
        <v>1610</v>
      </c>
      <c r="C540" s="3" t="s">
        <v>1611</v>
      </c>
      <c r="D540" s="3" t="s">
        <v>1612</v>
      </c>
      <c r="E540" s="10">
        <v>5.7005600003E11</v>
      </c>
      <c r="F540" s="3" t="s">
        <v>1613</v>
      </c>
      <c r="G540" s="3" t="s">
        <v>12</v>
      </c>
      <c r="H540" s="12" t="s">
        <v>13</v>
      </c>
      <c r="I540" s="3"/>
      <c r="J540" s="12" t="s">
        <v>89</v>
      </c>
      <c r="K540" s="3"/>
      <c r="L540" s="3"/>
      <c r="M540" s="3"/>
      <c r="N540" s="3"/>
      <c r="O540" s="3"/>
      <c r="P540" s="3"/>
      <c r="Q540" s="3"/>
    </row>
    <row r="541" ht="15.75" customHeight="1">
      <c r="A541" s="10">
        <v>540.0</v>
      </c>
      <c r="B541" s="3" t="s">
        <v>1614</v>
      </c>
      <c r="C541" s="3" t="s">
        <v>1615</v>
      </c>
      <c r="D541" s="3" t="s">
        <v>1616</v>
      </c>
      <c r="E541" s="10">
        <v>5.70056000031E11</v>
      </c>
      <c r="F541" s="3" t="s">
        <v>1617</v>
      </c>
      <c r="G541" s="3" t="s">
        <v>12</v>
      </c>
      <c r="H541" s="12" t="s">
        <v>13</v>
      </c>
      <c r="I541" s="3"/>
      <c r="J541" s="12" t="s">
        <v>89</v>
      </c>
      <c r="K541" s="3"/>
      <c r="L541" s="3"/>
      <c r="M541" s="3"/>
      <c r="N541" s="3"/>
      <c r="O541" s="3"/>
      <c r="P541" s="3"/>
      <c r="Q541" s="3"/>
    </row>
    <row r="542" ht="15.75" customHeight="1">
      <c r="A542" s="10">
        <v>541.0</v>
      </c>
      <c r="B542" s="3" t="s">
        <v>1618</v>
      </c>
      <c r="C542" s="3" t="s">
        <v>1619</v>
      </c>
      <c r="D542" s="3" t="s">
        <v>1620</v>
      </c>
      <c r="E542" s="10">
        <v>5.70056000032E11</v>
      </c>
      <c r="F542" s="3" t="s">
        <v>1621</v>
      </c>
      <c r="G542" s="3" t="s">
        <v>12</v>
      </c>
      <c r="H542" s="12" t="s">
        <v>13</v>
      </c>
      <c r="I542" s="3"/>
      <c r="J542" s="12" t="s">
        <v>89</v>
      </c>
      <c r="K542" s="3"/>
      <c r="L542" s="3"/>
      <c r="M542" s="3"/>
      <c r="N542" s="3"/>
      <c r="O542" s="3"/>
      <c r="P542" s="3"/>
      <c r="Q542" s="3"/>
    </row>
    <row r="543" ht="15.75" customHeight="1">
      <c r="A543" s="10">
        <v>542.0</v>
      </c>
      <c r="B543" s="3" t="s">
        <v>1622</v>
      </c>
      <c r="C543" s="3" t="s">
        <v>1623</v>
      </c>
      <c r="D543" s="3" t="s">
        <v>1624</v>
      </c>
      <c r="E543" s="10">
        <v>5.70056000041E11</v>
      </c>
      <c r="F543" s="3" t="s">
        <v>1625</v>
      </c>
      <c r="G543" s="3" t="s">
        <v>37</v>
      </c>
      <c r="H543" s="12" t="s">
        <v>13</v>
      </c>
      <c r="I543" s="3"/>
      <c r="J543" s="12" t="s">
        <v>89</v>
      </c>
      <c r="K543" s="3"/>
      <c r="L543" s="3"/>
      <c r="M543" s="3"/>
      <c r="N543" s="3"/>
      <c r="O543" s="3"/>
      <c r="P543" s="3"/>
      <c r="Q543" s="3"/>
    </row>
    <row r="544" ht="15.75" customHeight="1">
      <c r="A544" s="10">
        <v>543.0</v>
      </c>
      <c r="B544" s="3" t="s">
        <v>1626</v>
      </c>
      <c r="C544" s="3" t="s">
        <v>1627</v>
      </c>
      <c r="D544" s="3" t="s">
        <v>1628</v>
      </c>
      <c r="E544" s="10">
        <v>5.70056000047E11</v>
      </c>
      <c r="F544" s="3" t="s">
        <v>17</v>
      </c>
      <c r="G544" s="3" t="s">
        <v>37</v>
      </c>
      <c r="H544" s="12" t="s">
        <v>13</v>
      </c>
      <c r="I544" s="3"/>
      <c r="J544" s="12" t="s">
        <v>89</v>
      </c>
      <c r="K544" s="3"/>
      <c r="L544" s="3"/>
      <c r="M544" s="3"/>
      <c r="N544" s="3"/>
      <c r="O544" s="3"/>
      <c r="P544" s="3"/>
      <c r="Q544" s="3"/>
    </row>
    <row r="545" ht="15.75" customHeight="1">
      <c r="A545" s="10">
        <v>544.0</v>
      </c>
      <c r="B545" s="3" t="s">
        <v>1629</v>
      </c>
      <c r="C545" s="3" t="s">
        <v>1630</v>
      </c>
      <c r="D545" s="3" t="s">
        <v>1631</v>
      </c>
      <c r="E545" s="10">
        <v>5.7005600005E11</v>
      </c>
      <c r="F545" s="3" t="s">
        <v>1632</v>
      </c>
      <c r="G545" s="3" t="s">
        <v>12</v>
      </c>
      <c r="H545" s="12" t="s">
        <v>13</v>
      </c>
      <c r="I545" s="3"/>
      <c r="J545" s="12" t="s">
        <v>89</v>
      </c>
      <c r="K545" s="3"/>
      <c r="L545" s="3"/>
      <c r="M545" s="3"/>
      <c r="N545" s="3"/>
      <c r="O545" s="3"/>
      <c r="P545" s="3"/>
      <c r="Q545" s="3"/>
    </row>
    <row r="546" ht="15.75" customHeight="1">
      <c r="A546" s="10">
        <v>545.0</v>
      </c>
      <c r="B546" s="3" t="s">
        <v>1633</v>
      </c>
      <c r="C546" s="3" t="s">
        <v>1634</v>
      </c>
      <c r="D546" s="3" t="s">
        <v>1635</v>
      </c>
      <c r="E546" s="10">
        <v>5.70056000059E11</v>
      </c>
      <c r="F546" s="3" t="s">
        <v>1636</v>
      </c>
      <c r="G546" s="3" t="s">
        <v>62</v>
      </c>
      <c r="H546" s="12" t="s">
        <v>13</v>
      </c>
      <c r="I546" s="3"/>
      <c r="J546" s="12" t="s">
        <v>89</v>
      </c>
      <c r="K546" s="3"/>
      <c r="L546" s="3"/>
      <c r="M546" s="3"/>
      <c r="N546" s="3"/>
      <c r="O546" s="3"/>
      <c r="P546" s="3"/>
      <c r="Q546" s="3"/>
    </row>
    <row r="547" ht="15.75" customHeight="1">
      <c r="A547" s="10">
        <v>546.0</v>
      </c>
      <c r="B547" s="3" t="s">
        <v>1637</v>
      </c>
      <c r="C547" s="3" t="s">
        <v>1211</v>
      </c>
      <c r="D547" s="3" t="s">
        <v>1638</v>
      </c>
      <c r="E547" s="10">
        <v>5.70056000064E11</v>
      </c>
      <c r="F547" s="3" t="s">
        <v>1639</v>
      </c>
      <c r="G547" s="3" t="s">
        <v>50</v>
      </c>
      <c r="H547" s="12" t="s">
        <v>13</v>
      </c>
      <c r="I547" s="3"/>
      <c r="J547" s="12" t="s">
        <v>89</v>
      </c>
      <c r="K547" s="3"/>
      <c r="L547" s="3"/>
      <c r="M547" s="3"/>
      <c r="N547" s="3"/>
      <c r="O547" s="3"/>
      <c r="P547" s="3"/>
      <c r="Q547" s="3"/>
    </row>
    <row r="548" ht="15.75" customHeight="1">
      <c r="A548" s="10">
        <v>547.0</v>
      </c>
      <c r="B548" s="3" t="s">
        <v>1640</v>
      </c>
      <c r="C548" s="3" t="s">
        <v>1641</v>
      </c>
      <c r="D548" s="3" t="s">
        <v>1642</v>
      </c>
      <c r="E548" s="10">
        <v>5.7005600007E11</v>
      </c>
      <c r="F548" s="3" t="s">
        <v>405</v>
      </c>
      <c r="G548" s="3" t="s">
        <v>62</v>
      </c>
      <c r="H548" s="12" t="s">
        <v>13</v>
      </c>
      <c r="I548" s="3"/>
      <c r="J548" s="12" t="s">
        <v>89</v>
      </c>
      <c r="K548" s="3"/>
      <c r="L548" s="3"/>
      <c r="M548" s="3"/>
      <c r="N548" s="3"/>
      <c r="O548" s="3"/>
      <c r="P548" s="3"/>
      <c r="Q548" s="3"/>
    </row>
    <row r="549" ht="15.75" customHeight="1">
      <c r="A549" s="10">
        <v>548.0</v>
      </c>
      <c r="B549" s="3" t="s">
        <v>1643</v>
      </c>
      <c r="C549" s="3" t="s">
        <v>1644</v>
      </c>
      <c r="D549" s="3" t="s">
        <v>1645</v>
      </c>
      <c r="E549" s="10">
        <v>5.70056000072E11</v>
      </c>
      <c r="F549" s="3" t="s">
        <v>1646</v>
      </c>
      <c r="G549" s="3" t="s">
        <v>62</v>
      </c>
      <c r="H549" s="12" t="s">
        <v>13</v>
      </c>
      <c r="I549" s="3"/>
      <c r="J549" s="12" t="s">
        <v>89</v>
      </c>
      <c r="K549" s="3"/>
      <c r="L549" s="3"/>
      <c r="M549" s="3"/>
      <c r="N549" s="3"/>
      <c r="O549" s="3"/>
      <c r="P549" s="3"/>
      <c r="Q549" s="3"/>
    </row>
    <row r="550" ht="15.75" customHeight="1">
      <c r="A550" s="10">
        <v>549.0</v>
      </c>
      <c r="B550" s="3" t="s">
        <v>1647</v>
      </c>
      <c r="C550" s="3" t="s">
        <v>1648</v>
      </c>
      <c r="D550" s="3" t="s">
        <v>1649</v>
      </c>
      <c r="E550" s="10">
        <v>5.70056000077E11</v>
      </c>
      <c r="F550" s="3" t="s">
        <v>1636</v>
      </c>
      <c r="G550" s="3" t="s">
        <v>50</v>
      </c>
      <c r="H550" s="12" t="s">
        <v>13</v>
      </c>
      <c r="I550" s="3"/>
      <c r="J550" s="12" t="s">
        <v>89</v>
      </c>
      <c r="K550" s="3"/>
      <c r="L550" s="3"/>
      <c r="M550" s="3"/>
      <c r="N550" s="3"/>
      <c r="O550" s="3"/>
      <c r="P550" s="3"/>
      <c r="Q550" s="3"/>
    </row>
    <row r="551" ht="15.75" customHeight="1">
      <c r="A551" s="10">
        <v>550.0</v>
      </c>
      <c r="B551" s="3" t="s">
        <v>1650</v>
      </c>
      <c r="C551" s="3" t="s">
        <v>1651</v>
      </c>
      <c r="D551" s="3" t="s">
        <v>1652</v>
      </c>
      <c r="E551" s="10">
        <v>5.70056000078E11</v>
      </c>
      <c r="F551" s="3" t="s">
        <v>1653</v>
      </c>
      <c r="G551" s="3" t="s">
        <v>12</v>
      </c>
      <c r="H551" s="12" t="s">
        <v>13</v>
      </c>
      <c r="I551" s="3"/>
      <c r="J551" s="12" t="s">
        <v>89</v>
      </c>
      <c r="K551" s="3"/>
      <c r="L551" s="3"/>
      <c r="M551" s="3"/>
      <c r="N551" s="3"/>
      <c r="O551" s="3"/>
      <c r="P551" s="3"/>
      <c r="Q551" s="3"/>
    </row>
    <row r="552" ht="15.75" customHeight="1">
      <c r="A552" s="10">
        <v>551.0</v>
      </c>
      <c r="B552" s="3"/>
      <c r="C552" s="3" t="s">
        <v>1654</v>
      </c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ht="15.75" customHeight="1">
      <c r="A553" s="10">
        <v>552.0</v>
      </c>
      <c r="B553" s="3" t="s">
        <v>1655</v>
      </c>
      <c r="C553" s="3" t="s">
        <v>1656</v>
      </c>
      <c r="D553" s="3" t="s">
        <v>1657</v>
      </c>
      <c r="E553" s="10">
        <v>5.70056000086E11</v>
      </c>
      <c r="F553" s="3" t="s">
        <v>1658</v>
      </c>
      <c r="G553" s="3" t="s">
        <v>62</v>
      </c>
      <c r="H553" s="12" t="s">
        <v>13</v>
      </c>
      <c r="I553" s="3"/>
      <c r="J553" s="12" t="s">
        <v>89</v>
      </c>
      <c r="K553" s="3"/>
      <c r="L553" s="3"/>
      <c r="M553" s="3"/>
      <c r="N553" s="3"/>
      <c r="O553" s="3"/>
      <c r="P553" s="3"/>
      <c r="Q553" s="3"/>
    </row>
    <row r="554" ht="15.75" customHeight="1">
      <c r="A554" s="10">
        <v>553.0</v>
      </c>
      <c r="B554" s="3" t="s">
        <v>1659</v>
      </c>
      <c r="C554" s="3" t="s">
        <v>1660</v>
      </c>
      <c r="D554" s="3" t="s">
        <v>1661</v>
      </c>
      <c r="E554" s="10">
        <v>5.70056000087E11</v>
      </c>
      <c r="F554" s="3" t="s">
        <v>1662</v>
      </c>
      <c r="G554" s="3" t="s">
        <v>62</v>
      </c>
      <c r="H554" s="12" t="s">
        <v>13</v>
      </c>
      <c r="I554" s="3"/>
      <c r="J554" s="12" t="s">
        <v>89</v>
      </c>
      <c r="K554" s="3"/>
      <c r="L554" s="3"/>
      <c r="M554" s="3"/>
      <c r="N554" s="3"/>
      <c r="O554" s="3"/>
      <c r="P554" s="3"/>
      <c r="Q554" s="3"/>
    </row>
    <row r="555" ht="15.75" customHeight="1">
      <c r="A555" s="10">
        <v>554.0</v>
      </c>
      <c r="B555" s="3" t="s">
        <v>1663</v>
      </c>
      <c r="C555" s="3" t="s">
        <v>1584</v>
      </c>
      <c r="D555" s="3" t="s">
        <v>1664</v>
      </c>
      <c r="E555" s="10">
        <v>5.70056000088E11</v>
      </c>
      <c r="F555" s="3" t="s">
        <v>82</v>
      </c>
      <c r="G555" s="3" t="s">
        <v>62</v>
      </c>
      <c r="H555" s="12" t="s">
        <v>13</v>
      </c>
      <c r="I555" s="3"/>
      <c r="J555" s="12" t="s">
        <v>89</v>
      </c>
      <c r="K555" s="3"/>
      <c r="L555" s="3"/>
      <c r="M555" s="3"/>
      <c r="N555" s="3"/>
      <c r="O555" s="3"/>
      <c r="P555" s="3"/>
      <c r="Q555" s="3"/>
    </row>
    <row r="556" ht="15.75" customHeight="1">
      <c r="A556" s="10">
        <v>555.0</v>
      </c>
      <c r="B556" s="3" t="s">
        <v>1665</v>
      </c>
      <c r="C556" s="3" t="s">
        <v>1630</v>
      </c>
      <c r="D556" s="3" t="s">
        <v>1666</v>
      </c>
      <c r="E556" s="10">
        <v>5.70056000091E11</v>
      </c>
      <c r="F556" s="3" t="s">
        <v>1667</v>
      </c>
      <c r="G556" s="3" t="s">
        <v>62</v>
      </c>
      <c r="H556" s="12" t="s">
        <v>13</v>
      </c>
      <c r="I556" s="3"/>
      <c r="J556" s="12" t="s">
        <v>89</v>
      </c>
      <c r="K556" s="3"/>
      <c r="L556" s="3"/>
      <c r="M556" s="3"/>
      <c r="N556" s="3"/>
      <c r="O556" s="3"/>
      <c r="P556" s="3"/>
      <c r="Q556" s="3"/>
    </row>
    <row r="557" ht="15.75" customHeight="1">
      <c r="A557" s="10">
        <v>556.0</v>
      </c>
      <c r="B557" s="3" t="s">
        <v>1668</v>
      </c>
      <c r="C557" s="3" t="s">
        <v>1669</v>
      </c>
      <c r="D557" s="3" t="s">
        <v>1664</v>
      </c>
      <c r="E557" s="10">
        <v>5.70056000093E11</v>
      </c>
      <c r="F557" s="3" t="s">
        <v>1670</v>
      </c>
      <c r="G557" s="3" t="s">
        <v>12</v>
      </c>
      <c r="H557" s="12" t="s">
        <v>13</v>
      </c>
      <c r="I557" s="3"/>
      <c r="J557" s="12" t="s">
        <v>89</v>
      </c>
      <c r="K557" s="3"/>
      <c r="L557" s="3"/>
      <c r="M557" s="3"/>
      <c r="N557" s="3"/>
      <c r="O557" s="3"/>
      <c r="P557" s="3"/>
      <c r="Q557" s="3"/>
    </row>
    <row r="558" ht="15.75" customHeight="1">
      <c r="A558" s="10">
        <v>557.0</v>
      </c>
      <c r="B558" s="3" t="s">
        <v>1671</v>
      </c>
      <c r="C558" s="3" t="s">
        <v>1672</v>
      </c>
      <c r="D558" s="3" t="s">
        <v>1579</v>
      </c>
      <c r="E558" s="10">
        <v>5.70056000096E11</v>
      </c>
      <c r="F558" s="3" t="s">
        <v>1673</v>
      </c>
      <c r="G558" s="3" t="s">
        <v>1356</v>
      </c>
      <c r="H558" s="12" t="s">
        <v>13</v>
      </c>
      <c r="I558" s="3"/>
      <c r="J558" s="12" t="s">
        <v>89</v>
      </c>
      <c r="K558" s="3"/>
      <c r="L558" s="3"/>
      <c r="M558" s="3"/>
      <c r="N558" s="3"/>
      <c r="O558" s="3"/>
      <c r="P558" s="3"/>
      <c r="Q558" s="3"/>
    </row>
    <row r="559" ht="15.75" customHeight="1">
      <c r="A559" s="10">
        <v>558.0</v>
      </c>
      <c r="B559" s="3" t="s">
        <v>1674</v>
      </c>
      <c r="C559" s="3" t="s">
        <v>1675</v>
      </c>
      <c r="D559" s="3" t="s">
        <v>1676</v>
      </c>
      <c r="E559" s="10">
        <v>5.70056000097E11</v>
      </c>
      <c r="F559" s="3" t="s">
        <v>1677</v>
      </c>
      <c r="G559" s="3" t="s">
        <v>12</v>
      </c>
      <c r="H559" s="12" t="s">
        <v>13</v>
      </c>
      <c r="I559" s="3"/>
      <c r="J559" s="12" t="s">
        <v>89</v>
      </c>
      <c r="K559" s="3"/>
      <c r="L559" s="3"/>
      <c r="M559" s="3"/>
      <c r="N559" s="3"/>
      <c r="O559" s="3"/>
      <c r="P559" s="3"/>
      <c r="Q559" s="3"/>
    </row>
    <row r="560" ht="15.75" customHeight="1">
      <c r="A560" s="10">
        <v>559.0</v>
      </c>
      <c r="B560" s="3" t="s">
        <v>1678</v>
      </c>
      <c r="C560" s="3" t="s">
        <v>1489</v>
      </c>
      <c r="D560" s="3" t="s">
        <v>1679</v>
      </c>
      <c r="E560" s="10">
        <v>5.70056000099E11</v>
      </c>
      <c r="F560" s="3" t="s">
        <v>1680</v>
      </c>
      <c r="G560" s="3" t="s">
        <v>62</v>
      </c>
      <c r="H560" s="12" t="s">
        <v>13</v>
      </c>
      <c r="I560" s="3"/>
      <c r="J560" s="12" t="s">
        <v>89</v>
      </c>
      <c r="K560" s="3"/>
      <c r="L560" s="3"/>
      <c r="M560" s="3"/>
      <c r="N560" s="3"/>
      <c r="O560" s="3"/>
      <c r="P560" s="3"/>
      <c r="Q560" s="3"/>
    </row>
    <row r="561" ht="15.75" customHeight="1">
      <c r="A561" s="10">
        <v>560.0</v>
      </c>
      <c r="B561" s="3" t="s">
        <v>1681</v>
      </c>
      <c r="C561" s="3" t="s">
        <v>1648</v>
      </c>
      <c r="D561" s="3" t="s">
        <v>1649</v>
      </c>
      <c r="E561" s="10">
        <v>5.70056000101E11</v>
      </c>
      <c r="F561" s="3" t="s">
        <v>1682</v>
      </c>
      <c r="G561" s="3" t="s">
        <v>12</v>
      </c>
      <c r="H561" s="12" t="s">
        <v>13</v>
      </c>
      <c r="I561" s="3"/>
      <c r="J561" s="12" t="s">
        <v>89</v>
      </c>
      <c r="K561" s="3"/>
      <c r="L561" s="3"/>
      <c r="M561" s="3"/>
      <c r="N561" s="3"/>
      <c r="O561" s="3"/>
      <c r="P561" s="3"/>
      <c r="Q561" s="3"/>
    </row>
    <row r="562" ht="15.75" customHeight="1">
      <c r="A562" s="10">
        <v>561.0</v>
      </c>
      <c r="B562" s="3" t="s">
        <v>1683</v>
      </c>
      <c r="C562" s="3" t="s">
        <v>1684</v>
      </c>
      <c r="D562" s="3" t="s">
        <v>1685</v>
      </c>
      <c r="E562" s="10">
        <v>5.70056000102E11</v>
      </c>
      <c r="F562" s="3" t="s">
        <v>1686</v>
      </c>
      <c r="G562" s="3" t="s">
        <v>37</v>
      </c>
      <c r="H562" s="12" t="s">
        <v>13</v>
      </c>
      <c r="I562" s="3"/>
      <c r="J562" s="12" t="s">
        <v>89</v>
      </c>
      <c r="K562" s="3"/>
      <c r="L562" s="3"/>
      <c r="M562" s="3"/>
      <c r="N562" s="3"/>
      <c r="O562" s="3"/>
      <c r="P562" s="3"/>
      <c r="Q562" s="3"/>
    </row>
    <row r="563" ht="15.75" customHeight="1">
      <c r="A563" s="10">
        <v>562.0</v>
      </c>
      <c r="B563" s="3" t="s">
        <v>1687</v>
      </c>
      <c r="C563" s="3" t="s">
        <v>1688</v>
      </c>
      <c r="D563" s="3" t="s">
        <v>1689</v>
      </c>
      <c r="E563" s="10">
        <v>5.70056000103E11</v>
      </c>
      <c r="F563" s="3" t="s">
        <v>1690</v>
      </c>
      <c r="G563" s="3" t="s">
        <v>12</v>
      </c>
      <c r="H563" s="12" t="s">
        <v>13</v>
      </c>
      <c r="I563" s="3"/>
      <c r="J563" s="12" t="s">
        <v>89</v>
      </c>
      <c r="K563" s="3"/>
      <c r="L563" s="3"/>
      <c r="M563" s="3"/>
      <c r="N563" s="3"/>
      <c r="O563" s="3"/>
      <c r="P563" s="3"/>
      <c r="Q563" s="3"/>
    </row>
    <row r="564" ht="15.75" customHeight="1">
      <c r="A564" s="10">
        <v>563.0</v>
      </c>
      <c r="B564" s="3" t="s">
        <v>1691</v>
      </c>
      <c r="C564" s="3" t="s">
        <v>1692</v>
      </c>
      <c r="D564" s="3" t="s">
        <v>1693</v>
      </c>
      <c r="E564" s="10">
        <v>5.70056000107E11</v>
      </c>
      <c r="F564" s="3" t="s">
        <v>1694</v>
      </c>
      <c r="G564" s="3" t="s">
        <v>12</v>
      </c>
      <c r="H564" s="12" t="s">
        <v>13</v>
      </c>
      <c r="I564" s="3"/>
      <c r="J564" s="12" t="s">
        <v>89</v>
      </c>
      <c r="K564" s="3"/>
      <c r="L564" s="3"/>
      <c r="M564" s="3"/>
      <c r="N564" s="3"/>
      <c r="O564" s="3"/>
      <c r="P564" s="3"/>
      <c r="Q564" s="3"/>
    </row>
    <row r="565" ht="15.75" customHeight="1">
      <c r="A565" s="10">
        <v>564.0</v>
      </c>
      <c r="B565" s="3" t="s">
        <v>1695</v>
      </c>
      <c r="C565" s="3" t="s">
        <v>1696</v>
      </c>
      <c r="D565" s="3" t="s">
        <v>1697</v>
      </c>
      <c r="E565" s="10">
        <v>5.70056000109E11</v>
      </c>
      <c r="F565" s="3" t="s">
        <v>405</v>
      </c>
      <c r="G565" s="3" t="s">
        <v>62</v>
      </c>
      <c r="H565" s="12" t="s">
        <v>13</v>
      </c>
      <c r="I565" s="3"/>
      <c r="J565" s="12" t="s">
        <v>89</v>
      </c>
      <c r="K565" s="3"/>
      <c r="L565" s="3"/>
      <c r="M565" s="3"/>
      <c r="N565" s="3"/>
      <c r="O565" s="3"/>
      <c r="P565" s="3"/>
      <c r="Q565" s="3"/>
    </row>
    <row r="566" ht="15.75" customHeight="1">
      <c r="A566" s="10">
        <v>565.0</v>
      </c>
      <c r="B566" s="3" t="s">
        <v>1698</v>
      </c>
      <c r="C566" s="3" t="s">
        <v>1699</v>
      </c>
      <c r="D566" s="3" t="s">
        <v>1700</v>
      </c>
      <c r="E566" s="10">
        <v>5.70056000111E11</v>
      </c>
      <c r="F566" s="3" t="s">
        <v>1701</v>
      </c>
      <c r="G566" s="3" t="s">
        <v>50</v>
      </c>
      <c r="H566" s="12" t="s">
        <v>13</v>
      </c>
      <c r="I566" s="3"/>
      <c r="J566" s="12" t="s">
        <v>89</v>
      </c>
      <c r="K566" s="3"/>
      <c r="L566" s="3"/>
      <c r="M566" s="3"/>
      <c r="N566" s="3"/>
      <c r="O566" s="3"/>
      <c r="P566" s="3"/>
      <c r="Q566" s="3"/>
    </row>
    <row r="567" ht="15.75" customHeight="1">
      <c r="A567" s="10">
        <v>566.0</v>
      </c>
      <c r="B567" s="3" t="s">
        <v>1702</v>
      </c>
      <c r="C567" s="3" t="s">
        <v>1530</v>
      </c>
      <c r="D567" s="3" t="s">
        <v>1703</v>
      </c>
      <c r="E567" s="10">
        <v>5.70056000112E11</v>
      </c>
      <c r="F567" s="3" t="s">
        <v>1704</v>
      </c>
      <c r="G567" s="3" t="s">
        <v>12</v>
      </c>
      <c r="H567" s="12" t="s">
        <v>13</v>
      </c>
      <c r="I567" s="3"/>
      <c r="J567" s="12" t="s">
        <v>89</v>
      </c>
      <c r="K567" s="3"/>
      <c r="L567" s="3"/>
      <c r="M567" s="3"/>
      <c r="N567" s="3"/>
      <c r="O567" s="3"/>
      <c r="P567" s="3"/>
      <c r="Q567" s="3"/>
    </row>
    <row r="568" ht="15.75" customHeight="1">
      <c r="A568" s="10">
        <v>567.0</v>
      </c>
      <c r="B568" s="3" t="s">
        <v>1705</v>
      </c>
      <c r="C568" s="3" t="s">
        <v>1706</v>
      </c>
      <c r="D568" s="3" t="s">
        <v>1707</v>
      </c>
      <c r="E568" s="10">
        <v>5.70056000113E11</v>
      </c>
      <c r="F568" s="3" t="s">
        <v>405</v>
      </c>
      <c r="G568" s="3" t="s">
        <v>62</v>
      </c>
      <c r="H568" s="12" t="s">
        <v>13</v>
      </c>
      <c r="I568" s="3"/>
      <c r="J568" s="12" t="s">
        <v>89</v>
      </c>
      <c r="K568" s="3"/>
      <c r="L568" s="3"/>
      <c r="M568" s="3"/>
      <c r="N568" s="3"/>
      <c r="O568" s="3"/>
      <c r="P568" s="3"/>
      <c r="Q568" s="3"/>
    </row>
    <row r="569" ht="15.75" customHeight="1">
      <c r="A569" s="10">
        <v>568.0</v>
      </c>
      <c r="B569" s="3" t="s">
        <v>1708</v>
      </c>
      <c r="C569" s="3" t="s">
        <v>1548</v>
      </c>
      <c r="D569" s="3" t="s">
        <v>1709</v>
      </c>
      <c r="E569" s="10">
        <v>5.70056000121E11</v>
      </c>
      <c r="F569" s="3" t="s">
        <v>1710</v>
      </c>
      <c r="G569" s="3" t="s">
        <v>12</v>
      </c>
      <c r="H569" s="12" t="s">
        <v>13</v>
      </c>
      <c r="I569" s="3"/>
      <c r="J569" s="12" t="s">
        <v>89</v>
      </c>
      <c r="K569" s="3"/>
      <c r="L569" s="3"/>
      <c r="M569" s="3"/>
      <c r="N569" s="3"/>
      <c r="O569" s="3"/>
      <c r="P569" s="3"/>
      <c r="Q569" s="3"/>
    </row>
    <row r="570" ht="15.75" customHeight="1">
      <c r="A570" s="10">
        <v>569.0</v>
      </c>
      <c r="B570" s="3" t="s">
        <v>1711</v>
      </c>
      <c r="C570" s="3" t="s">
        <v>1712</v>
      </c>
      <c r="D570" s="3" t="s">
        <v>1713</v>
      </c>
      <c r="E570" s="10">
        <v>5.70056000128E11</v>
      </c>
      <c r="F570" s="3" t="s">
        <v>1714</v>
      </c>
      <c r="G570" s="3" t="s">
        <v>50</v>
      </c>
      <c r="H570" s="12" t="s">
        <v>13</v>
      </c>
      <c r="I570" s="3"/>
      <c r="J570" s="12" t="s">
        <v>89</v>
      </c>
      <c r="K570" s="3"/>
      <c r="L570" s="3"/>
      <c r="M570" s="3"/>
      <c r="N570" s="3"/>
      <c r="O570" s="3"/>
      <c r="P570" s="3"/>
      <c r="Q570" s="3"/>
    </row>
    <row r="571" ht="15.75" customHeight="1">
      <c r="A571" s="10">
        <v>570.0</v>
      </c>
      <c r="B571" s="3" t="s">
        <v>1715</v>
      </c>
      <c r="C571" s="3" t="s">
        <v>1716</v>
      </c>
      <c r="D571" s="3" t="s">
        <v>1717</v>
      </c>
      <c r="E571" s="10">
        <v>5.70056000129E11</v>
      </c>
      <c r="F571" s="3" t="s">
        <v>1718</v>
      </c>
      <c r="G571" s="3" t="s">
        <v>12</v>
      </c>
      <c r="H571" s="12" t="s">
        <v>13</v>
      </c>
      <c r="I571" s="3"/>
      <c r="J571" s="12" t="s">
        <v>89</v>
      </c>
      <c r="K571" s="3"/>
      <c r="L571" s="3"/>
      <c r="M571" s="3"/>
      <c r="N571" s="3"/>
      <c r="O571" s="3"/>
      <c r="P571" s="3"/>
      <c r="Q571" s="3"/>
    </row>
    <row r="572" ht="15.75" customHeight="1">
      <c r="A572" s="10">
        <v>571.0</v>
      </c>
      <c r="B572" s="3" t="s">
        <v>1687</v>
      </c>
      <c r="C572" s="3" t="s">
        <v>1719</v>
      </c>
      <c r="D572" s="3" t="s">
        <v>1693</v>
      </c>
      <c r="E572" s="10">
        <v>5.7005600013E11</v>
      </c>
      <c r="F572" s="3" t="s">
        <v>326</v>
      </c>
      <c r="G572" s="3" t="s">
        <v>62</v>
      </c>
      <c r="H572" s="12" t="s">
        <v>13</v>
      </c>
      <c r="I572" s="3"/>
      <c r="J572" s="12" t="s">
        <v>89</v>
      </c>
      <c r="K572" s="3"/>
      <c r="L572" s="3"/>
      <c r="M572" s="3"/>
      <c r="N572" s="3"/>
      <c r="O572" s="3"/>
      <c r="P572" s="3"/>
      <c r="Q572" s="3"/>
    </row>
    <row r="573" ht="15.75" customHeight="1">
      <c r="A573" s="10">
        <v>572.0</v>
      </c>
      <c r="B573" s="3" t="s">
        <v>1720</v>
      </c>
      <c r="C573" s="3" t="s">
        <v>1721</v>
      </c>
      <c r="D573" s="3" t="s">
        <v>1722</v>
      </c>
      <c r="E573" s="10">
        <v>5.70056000132E11</v>
      </c>
      <c r="F573" s="3" t="s">
        <v>1723</v>
      </c>
      <c r="G573" s="3" t="s">
        <v>12</v>
      </c>
      <c r="H573" s="12" t="s">
        <v>13</v>
      </c>
      <c r="I573" s="3"/>
      <c r="J573" s="12" t="s">
        <v>89</v>
      </c>
      <c r="K573" s="3"/>
      <c r="L573" s="3"/>
      <c r="M573" s="3"/>
      <c r="N573" s="3"/>
      <c r="O573" s="3"/>
      <c r="P573" s="3"/>
      <c r="Q573" s="3"/>
    </row>
    <row r="574" ht="15.75" customHeight="1">
      <c r="A574" s="10">
        <v>573.0</v>
      </c>
      <c r="B574" s="3" t="s">
        <v>1724</v>
      </c>
      <c r="C574" s="3" t="s">
        <v>1725</v>
      </c>
      <c r="D574" s="3" t="s">
        <v>1726</v>
      </c>
      <c r="E574" s="10">
        <v>5.70056000136E11</v>
      </c>
      <c r="F574" s="3" t="s">
        <v>1727</v>
      </c>
      <c r="G574" s="3" t="s">
        <v>12</v>
      </c>
      <c r="H574" s="12" t="s">
        <v>13</v>
      </c>
      <c r="I574" s="3"/>
      <c r="J574" s="12" t="s">
        <v>89</v>
      </c>
      <c r="K574" s="3"/>
      <c r="L574" s="3"/>
      <c r="M574" s="3"/>
      <c r="N574" s="3"/>
      <c r="O574" s="3"/>
      <c r="P574" s="3"/>
      <c r="Q574" s="3"/>
    </row>
    <row r="575" ht="15.75" customHeight="1">
      <c r="A575" s="10">
        <v>574.0</v>
      </c>
      <c r="B575" s="3" t="s">
        <v>1728</v>
      </c>
      <c r="C575" s="3" t="s">
        <v>1729</v>
      </c>
      <c r="D575" s="3" t="s">
        <v>1730</v>
      </c>
      <c r="E575" s="10">
        <v>5.70056000142E11</v>
      </c>
      <c r="F575" s="3" t="s">
        <v>1731</v>
      </c>
      <c r="G575" s="3" t="s">
        <v>12</v>
      </c>
      <c r="H575" s="12" t="s">
        <v>13</v>
      </c>
      <c r="I575" s="3"/>
      <c r="J575" s="12" t="s">
        <v>89</v>
      </c>
      <c r="K575" s="3"/>
      <c r="L575" s="3"/>
      <c r="M575" s="3"/>
      <c r="N575" s="3"/>
      <c r="O575" s="3"/>
      <c r="P575" s="3"/>
      <c r="Q575" s="3"/>
    </row>
    <row r="576" ht="15.75" customHeight="1">
      <c r="A576" s="10">
        <v>575.0</v>
      </c>
      <c r="B576" s="3" t="s">
        <v>1732</v>
      </c>
      <c r="C576" s="3" t="s">
        <v>1729</v>
      </c>
      <c r="D576" s="3" t="s">
        <v>1730</v>
      </c>
      <c r="E576" s="10">
        <v>5.70056000143E11</v>
      </c>
      <c r="F576" s="3" t="s">
        <v>1733</v>
      </c>
      <c r="G576" s="3" t="s">
        <v>12</v>
      </c>
      <c r="H576" s="12" t="s">
        <v>13</v>
      </c>
      <c r="I576" s="3"/>
      <c r="J576" s="12" t="s">
        <v>89</v>
      </c>
      <c r="K576" s="3"/>
      <c r="L576" s="3"/>
      <c r="M576" s="3"/>
      <c r="N576" s="3"/>
      <c r="O576" s="3"/>
      <c r="P576" s="3"/>
      <c r="Q576" s="3"/>
    </row>
    <row r="577" ht="15.75" customHeight="1">
      <c r="A577" s="10">
        <v>576.0</v>
      </c>
      <c r="B577" s="3" t="s">
        <v>1734</v>
      </c>
      <c r="C577" s="3" t="s">
        <v>771</v>
      </c>
      <c r="D577" s="3" t="s">
        <v>1735</v>
      </c>
      <c r="E577" s="10">
        <v>5.70056000144E11</v>
      </c>
      <c r="F577" s="3" t="s">
        <v>1736</v>
      </c>
      <c r="G577" s="3" t="s">
        <v>1737</v>
      </c>
      <c r="H577" s="12" t="s">
        <v>13</v>
      </c>
      <c r="I577" s="3"/>
      <c r="J577" s="12" t="s">
        <v>89</v>
      </c>
      <c r="K577" s="3"/>
      <c r="L577" s="3"/>
      <c r="M577" s="3"/>
      <c r="N577" s="3"/>
      <c r="O577" s="3"/>
      <c r="P577" s="3"/>
      <c r="Q577" s="3"/>
    </row>
    <row r="578" ht="15.75" customHeight="1">
      <c r="A578" s="10">
        <v>577.0</v>
      </c>
      <c r="B578" s="3" t="s">
        <v>1738</v>
      </c>
      <c r="C578" s="3" t="s">
        <v>501</v>
      </c>
      <c r="D578" s="3" t="s">
        <v>1739</v>
      </c>
      <c r="E578" s="10">
        <v>5.70056000149E11</v>
      </c>
      <c r="F578" s="3" t="s">
        <v>1740</v>
      </c>
      <c r="G578" s="3" t="s">
        <v>62</v>
      </c>
      <c r="H578" s="12" t="s">
        <v>13</v>
      </c>
      <c r="I578" s="3"/>
      <c r="J578" s="12" t="s">
        <v>89</v>
      </c>
      <c r="K578" s="3"/>
      <c r="L578" s="3"/>
      <c r="M578" s="3"/>
      <c r="N578" s="3"/>
      <c r="O578" s="3"/>
      <c r="P578" s="3"/>
      <c r="Q578" s="3"/>
    </row>
    <row r="579" ht="15.75" customHeight="1">
      <c r="A579" s="10">
        <v>578.0</v>
      </c>
      <c r="B579" s="3" t="s">
        <v>1741</v>
      </c>
      <c r="C579" s="3" t="s">
        <v>1489</v>
      </c>
      <c r="D579" s="3" t="s">
        <v>1742</v>
      </c>
      <c r="E579" s="10">
        <v>5.7005600015E11</v>
      </c>
      <c r="F579" s="3" t="s">
        <v>1110</v>
      </c>
      <c r="G579" s="3" t="s">
        <v>12</v>
      </c>
      <c r="H579" s="12" t="s">
        <v>13</v>
      </c>
      <c r="I579" s="3"/>
      <c r="J579" s="12" t="s">
        <v>89</v>
      </c>
      <c r="K579" s="3"/>
      <c r="L579" s="3"/>
      <c r="M579" s="3"/>
      <c r="N579" s="3"/>
      <c r="O579" s="3"/>
      <c r="P579" s="3"/>
      <c r="Q579" s="3"/>
    </row>
    <row r="580" ht="15.75" customHeight="1">
      <c r="A580" s="10">
        <v>579.0</v>
      </c>
      <c r="B580" s="3" t="s">
        <v>1743</v>
      </c>
      <c r="C580" s="3" t="s">
        <v>1744</v>
      </c>
      <c r="D580" s="3" t="s">
        <v>1745</v>
      </c>
      <c r="E580" s="10">
        <v>5.70056000152E11</v>
      </c>
      <c r="F580" s="3" t="s">
        <v>1746</v>
      </c>
      <c r="G580" s="3" t="s">
        <v>62</v>
      </c>
      <c r="H580" s="12" t="s">
        <v>13</v>
      </c>
      <c r="I580" s="3"/>
      <c r="J580" s="12" t="s">
        <v>89</v>
      </c>
      <c r="K580" s="3"/>
      <c r="L580" s="3"/>
      <c r="M580" s="3"/>
      <c r="N580" s="3"/>
      <c r="O580" s="3"/>
      <c r="P580" s="3"/>
      <c r="Q580" s="3"/>
    </row>
    <row r="581" ht="15.75" customHeight="1">
      <c r="A581" s="10">
        <v>580.0</v>
      </c>
      <c r="B581" s="3" t="s">
        <v>1747</v>
      </c>
      <c r="C581" s="3" t="s">
        <v>1748</v>
      </c>
      <c r="D581" s="3" t="s">
        <v>1749</v>
      </c>
      <c r="E581" s="10">
        <v>5.70056000153E11</v>
      </c>
      <c r="F581" s="3" t="s">
        <v>900</v>
      </c>
      <c r="G581" s="3" t="s">
        <v>12</v>
      </c>
      <c r="H581" s="12" t="s">
        <v>13</v>
      </c>
      <c r="I581" s="3"/>
      <c r="J581" s="12" t="s">
        <v>89</v>
      </c>
      <c r="K581" s="3"/>
      <c r="L581" s="3"/>
      <c r="M581" s="3"/>
      <c r="N581" s="3"/>
      <c r="O581" s="3"/>
      <c r="P581" s="3"/>
      <c r="Q581" s="3"/>
    </row>
    <row r="582" ht="15.75" customHeight="1">
      <c r="A582" s="10">
        <v>581.0</v>
      </c>
      <c r="B582" s="3" t="s">
        <v>1750</v>
      </c>
      <c r="C582" s="3" t="s">
        <v>1751</v>
      </c>
      <c r="D582" s="3" t="s">
        <v>1752</v>
      </c>
      <c r="E582" s="10">
        <v>5.70056000159E11</v>
      </c>
      <c r="F582" s="3" t="s">
        <v>1753</v>
      </c>
      <c r="G582" s="3" t="s">
        <v>12</v>
      </c>
      <c r="H582" s="12" t="s">
        <v>13</v>
      </c>
      <c r="I582" s="3"/>
      <c r="J582" s="12" t="s">
        <v>89</v>
      </c>
      <c r="K582" s="3"/>
      <c r="L582" s="3"/>
      <c r="M582" s="3"/>
      <c r="N582" s="3"/>
      <c r="O582" s="3"/>
      <c r="P582" s="3"/>
      <c r="Q582" s="3"/>
    </row>
    <row r="583" ht="15.75" customHeight="1">
      <c r="A583" s="10">
        <v>582.0</v>
      </c>
      <c r="B583" s="3" t="s">
        <v>1754</v>
      </c>
      <c r="C583" s="3" t="s">
        <v>609</v>
      </c>
      <c r="D583" s="3" t="s">
        <v>1755</v>
      </c>
      <c r="E583" s="10">
        <v>5.70056000161E11</v>
      </c>
      <c r="F583" s="3" t="s">
        <v>1756</v>
      </c>
      <c r="G583" s="3" t="s">
        <v>12</v>
      </c>
      <c r="H583" s="12" t="s">
        <v>13</v>
      </c>
      <c r="I583" s="3"/>
      <c r="J583" s="12" t="s">
        <v>89</v>
      </c>
      <c r="K583" s="3"/>
      <c r="L583" s="3"/>
      <c r="M583" s="3"/>
      <c r="N583" s="3"/>
      <c r="O583" s="3"/>
      <c r="P583" s="3"/>
      <c r="Q583" s="3"/>
    </row>
    <row r="584" ht="15.75" customHeight="1">
      <c r="A584" s="10">
        <v>583.0</v>
      </c>
      <c r="B584" s="3" t="s">
        <v>1757</v>
      </c>
      <c r="C584" s="3" t="s">
        <v>1758</v>
      </c>
      <c r="D584" s="3" t="s">
        <v>1759</v>
      </c>
      <c r="E584" s="10">
        <v>5.70056000162E11</v>
      </c>
      <c r="F584" s="3" t="s">
        <v>1760</v>
      </c>
      <c r="G584" s="3" t="s">
        <v>12</v>
      </c>
      <c r="H584" s="12" t="s">
        <v>13</v>
      </c>
      <c r="I584" s="3"/>
      <c r="J584" s="12" t="s">
        <v>89</v>
      </c>
      <c r="K584" s="3"/>
      <c r="L584" s="3"/>
      <c r="M584" s="3"/>
      <c r="N584" s="3"/>
      <c r="O584" s="3"/>
      <c r="P584" s="3"/>
      <c r="Q584" s="3"/>
    </row>
    <row r="585" ht="15.75" customHeight="1">
      <c r="A585" s="10">
        <v>584.0</v>
      </c>
      <c r="B585" s="3" t="s">
        <v>1761</v>
      </c>
      <c r="C585" s="3" t="s">
        <v>1762</v>
      </c>
      <c r="D585" s="3" t="s">
        <v>1763</v>
      </c>
      <c r="E585" s="10">
        <v>5.70056000164E11</v>
      </c>
      <c r="F585" s="3" t="s">
        <v>1764</v>
      </c>
      <c r="G585" s="3" t="s">
        <v>62</v>
      </c>
      <c r="H585" s="12" t="s">
        <v>13</v>
      </c>
      <c r="I585" s="3"/>
      <c r="J585" s="12" t="s">
        <v>89</v>
      </c>
      <c r="K585" s="3"/>
      <c r="L585" s="3"/>
      <c r="M585" s="3"/>
      <c r="N585" s="3"/>
      <c r="O585" s="3"/>
      <c r="P585" s="3"/>
      <c r="Q585" s="3"/>
    </row>
    <row r="586" ht="15.75" customHeight="1">
      <c r="A586" s="10">
        <v>585.0</v>
      </c>
      <c r="B586" s="3" t="s">
        <v>1687</v>
      </c>
      <c r="C586" s="3" t="s">
        <v>1534</v>
      </c>
      <c r="D586" s="3" t="s">
        <v>1765</v>
      </c>
      <c r="E586" s="10">
        <v>5.70056000165E11</v>
      </c>
      <c r="F586" s="3" t="s">
        <v>1639</v>
      </c>
      <c r="G586" s="3" t="s">
        <v>12</v>
      </c>
      <c r="H586" s="12" t="s">
        <v>13</v>
      </c>
      <c r="I586" s="3"/>
      <c r="J586" s="12" t="s">
        <v>89</v>
      </c>
      <c r="K586" s="3"/>
      <c r="L586" s="3"/>
      <c r="M586" s="3"/>
      <c r="N586" s="3"/>
      <c r="O586" s="3"/>
      <c r="P586" s="3"/>
      <c r="Q586" s="3"/>
    </row>
    <row r="587" ht="15.75" customHeight="1">
      <c r="A587" s="10">
        <v>586.0</v>
      </c>
      <c r="B587" s="3" t="s">
        <v>1766</v>
      </c>
      <c r="C587" s="3" t="s">
        <v>1681</v>
      </c>
      <c r="D587" s="3" t="s">
        <v>1767</v>
      </c>
      <c r="E587" s="10">
        <v>5.70056000166E11</v>
      </c>
      <c r="F587" s="3" t="s">
        <v>1768</v>
      </c>
      <c r="G587" s="3" t="s">
        <v>50</v>
      </c>
      <c r="H587" s="12" t="s">
        <v>13</v>
      </c>
      <c r="I587" s="3"/>
      <c r="J587" s="12" t="s">
        <v>89</v>
      </c>
      <c r="K587" s="3"/>
      <c r="L587" s="3"/>
      <c r="M587" s="3"/>
      <c r="N587" s="3"/>
      <c r="O587" s="3"/>
      <c r="P587" s="3"/>
      <c r="Q587" s="3"/>
    </row>
    <row r="588" ht="15.75" customHeight="1">
      <c r="A588" s="10">
        <v>587.0</v>
      </c>
      <c r="B588" s="3" t="s">
        <v>1769</v>
      </c>
      <c r="C588" s="3" t="s">
        <v>1770</v>
      </c>
      <c r="D588" s="3" t="s">
        <v>1771</v>
      </c>
      <c r="E588" s="10">
        <v>5.70056000172E11</v>
      </c>
      <c r="F588" s="3" t="s">
        <v>405</v>
      </c>
      <c r="G588" s="3" t="s">
        <v>62</v>
      </c>
      <c r="H588" s="12" t="s">
        <v>13</v>
      </c>
      <c r="I588" s="3"/>
      <c r="J588" s="12" t="s">
        <v>89</v>
      </c>
      <c r="K588" s="3"/>
      <c r="L588" s="3"/>
      <c r="M588" s="3"/>
      <c r="N588" s="3"/>
      <c r="O588" s="3"/>
      <c r="P588" s="3"/>
      <c r="Q588" s="3"/>
    </row>
    <row r="589" ht="15.75" customHeight="1">
      <c r="A589" s="10">
        <v>588.0</v>
      </c>
      <c r="B589" s="3" t="s">
        <v>1772</v>
      </c>
      <c r="C589" s="3" t="s">
        <v>1738</v>
      </c>
      <c r="D589" s="3" t="s">
        <v>1773</v>
      </c>
      <c r="E589" s="10">
        <v>5.70056000173E11</v>
      </c>
      <c r="F589" s="3" t="s">
        <v>1774</v>
      </c>
      <c r="G589" s="3" t="s">
        <v>12</v>
      </c>
      <c r="H589" s="12" t="s">
        <v>13</v>
      </c>
      <c r="I589" s="3"/>
      <c r="J589" s="12" t="s">
        <v>89</v>
      </c>
      <c r="K589" s="3"/>
      <c r="L589" s="3"/>
      <c r="M589" s="3"/>
      <c r="N589" s="3"/>
      <c r="O589" s="3"/>
      <c r="P589" s="3"/>
      <c r="Q589" s="3"/>
    </row>
    <row r="590" ht="15.75" customHeight="1">
      <c r="A590" s="10">
        <v>589.0</v>
      </c>
      <c r="B590" s="3" t="s">
        <v>1775</v>
      </c>
      <c r="C590" s="3" t="s">
        <v>1776</v>
      </c>
      <c r="D590" s="3" t="s">
        <v>1700</v>
      </c>
      <c r="E590" s="10">
        <v>5.70056000174E11</v>
      </c>
      <c r="F590" s="3" t="s">
        <v>1777</v>
      </c>
      <c r="G590" s="3" t="s">
        <v>12</v>
      </c>
      <c r="H590" s="12" t="s">
        <v>13</v>
      </c>
      <c r="I590" s="3"/>
      <c r="J590" s="12" t="s">
        <v>89</v>
      </c>
      <c r="K590" s="3"/>
      <c r="L590" s="3"/>
      <c r="M590" s="3"/>
      <c r="N590" s="3"/>
      <c r="O590" s="3"/>
      <c r="P590" s="3"/>
      <c r="Q590" s="3"/>
    </row>
    <row r="591" ht="15.75" customHeight="1">
      <c r="A591" s="10">
        <v>590.0</v>
      </c>
      <c r="B591" s="3" t="s">
        <v>1778</v>
      </c>
      <c r="C591" s="3" t="s">
        <v>1779</v>
      </c>
      <c r="D591" s="3" t="s">
        <v>1780</v>
      </c>
      <c r="E591" s="10">
        <v>5.70056000175E11</v>
      </c>
      <c r="F591" s="3" t="s">
        <v>1781</v>
      </c>
      <c r="G591" s="3" t="s">
        <v>62</v>
      </c>
      <c r="H591" s="12" t="s">
        <v>13</v>
      </c>
      <c r="I591" s="3"/>
      <c r="J591" s="12" t="s">
        <v>89</v>
      </c>
      <c r="K591" s="3"/>
      <c r="L591" s="3"/>
      <c r="M591" s="3"/>
      <c r="N591" s="3"/>
      <c r="O591" s="3"/>
      <c r="P591" s="3"/>
      <c r="Q591" s="3"/>
    </row>
    <row r="592" ht="15.75" customHeight="1">
      <c r="A592" s="10">
        <v>591.0</v>
      </c>
      <c r="B592" s="3" t="s">
        <v>1782</v>
      </c>
      <c r="C592" s="3" t="s">
        <v>1783</v>
      </c>
      <c r="D592" s="3" t="s">
        <v>1652</v>
      </c>
      <c r="E592" s="10">
        <v>5.70056000176E11</v>
      </c>
      <c r="F592" s="3" t="s">
        <v>1784</v>
      </c>
      <c r="G592" s="3" t="s">
        <v>12</v>
      </c>
      <c r="H592" s="12" t="s">
        <v>13</v>
      </c>
      <c r="I592" s="3"/>
      <c r="J592" s="12" t="s">
        <v>89</v>
      </c>
      <c r="K592" s="3"/>
      <c r="L592" s="3"/>
      <c r="M592" s="3"/>
      <c r="N592" s="3"/>
      <c r="O592" s="3"/>
      <c r="P592" s="3"/>
      <c r="Q592" s="3"/>
    </row>
    <row r="593" ht="15.75" customHeight="1">
      <c r="A593" s="10">
        <v>592.0</v>
      </c>
      <c r="B593" s="3" t="s">
        <v>1785</v>
      </c>
      <c r="C593" s="3" t="s">
        <v>254</v>
      </c>
      <c r="D593" s="3" t="s">
        <v>1060</v>
      </c>
      <c r="E593" s="10">
        <v>5.70056000179E11</v>
      </c>
      <c r="F593" s="3" t="s">
        <v>1786</v>
      </c>
      <c r="G593" s="3" t="s">
        <v>62</v>
      </c>
      <c r="H593" s="3" t="s">
        <v>70</v>
      </c>
      <c r="I593" s="3" t="s">
        <v>71</v>
      </c>
      <c r="J593" s="3" t="s">
        <v>72</v>
      </c>
      <c r="K593" s="3"/>
      <c r="L593" s="7">
        <v>2.2222222E7</v>
      </c>
      <c r="M593" s="3"/>
      <c r="N593" s="3"/>
      <c r="O593" s="3"/>
      <c r="P593" s="3"/>
      <c r="Q593" s="3"/>
    </row>
    <row r="594" ht="15.75" customHeight="1">
      <c r="A594" s="10">
        <v>593.0</v>
      </c>
      <c r="B594" s="3" t="s">
        <v>1787</v>
      </c>
      <c r="C594" s="3" t="s">
        <v>1788</v>
      </c>
      <c r="D594" s="3" t="s">
        <v>933</v>
      </c>
      <c r="E594" s="10">
        <v>5.70056000181E11</v>
      </c>
      <c r="F594" s="3" t="s">
        <v>1789</v>
      </c>
      <c r="G594" s="3" t="s">
        <v>62</v>
      </c>
      <c r="H594" s="3" t="s">
        <v>70</v>
      </c>
      <c r="I594" s="3" t="s">
        <v>71</v>
      </c>
      <c r="J594" s="3" t="s">
        <v>72</v>
      </c>
      <c r="K594" s="3"/>
      <c r="L594" s="3"/>
      <c r="M594" s="3"/>
      <c r="N594" s="3"/>
      <c r="O594" s="3"/>
      <c r="P594" s="3"/>
      <c r="Q594" s="3"/>
    </row>
    <row r="595" ht="15.75" customHeight="1">
      <c r="A595" s="10">
        <v>594.0</v>
      </c>
      <c r="B595" s="3" t="s">
        <v>945</v>
      </c>
      <c r="C595" s="3" t="s">
        <v>724</v>
      </c>
      <c r="D595" s="3" t="s">
        <v>1790</v>
      </c>
      <c r="E595" s="10">
        <v>5.70056000182E11</v>
      </c>
      <c r="F595" s="3" t="s">
        <v>1791</v>
      </c>
      <c r="G595" s="3" t="s">
        <v>12</v>
      </c>
      <c r="H595" s="3" t="s">
        <v>70</v>
      </c>
      <c r="I595" s="3" t="s">
        <v>71</v>
      </c>
      <c r="J595" s="3" t="s">
        <v>72</v>
      </c>
      <c r="K595" s="3"/>
      <c r="L595" s="3"/>
      <c r="M595" s="3"/>
      <c r="N595" s="3"/>
      <c r="O595" s="3"/>
      <c r="P595" s="3"/>
      <c r="Q595" s="3"/>
    </row>
    <row r="596" ht="15.75" customHeight="1">
      <c r="A596" s="10">
        <v>595.0</v>
      </c>
      <c r="B596" s="3" t="s">
        <v>173</v>
      </c>
      <c r="C596" s="3" t="s">
        <v>1792</v>
      </c>
      <c r="D596" s="3" t="s">
        <v>692</v>
      </c>
      <c r="E596" s="10">
        <v>5.70056000188E11</v>
      </c>
      <c r="F596" s="3" t="s">
        <v>1793</v>
      </c>
      <c r="G596" s="3" t="s">
        <v>50</v>
      </c>
      <c r="H596" s="3" t="s">
        <v>70</v>
      </c>
      <c r="I596" s="3" t="s">
        <v>71</v>
      </c>
      <c r="J596" s="3" t="s">
        <v>72</v>
      </c>
      <c r="K596" s="3"/>
      <c r="L596" s="3"/>
      <c r="M596" s="3"/>
      <c r="N596" s="3"/>
      <c r="O596" s="3"/>
      <c r="P596" s="3"/>
      <c r="Q596" s="3"/>
    </row>
    <row r="597" ht="15.75" customHeight="1">
      <c r="A597" s="10">
        <v>596.0</v>
      </c>
      <c r="B597" s="3" t="s">
        <v>1794</v>
      </c>
      <c r="C597" s="3" t="s">
        <v>181</v>
      </c>
      <c r="D597" s="3" t="s">
        <v>1795</v>
      </c>
      <c r="E597" s="10">
        <v>5.7005600019E11</v>
      </c>
      <c r="F597" s="3" t="s">
        <v>1796</v>
      </c>
      <c r="G597" s="3" t="s">
        <v>62</v>
      </c>
      <c r="H597" s="3" t="s">
        <v>70</v>
      </c>
      <c r="I597" s="3" t="s">
        <v>71</v>
      </c>
      <c r="J597" s="3" t="s">
        <v>72</v>
      </c>
      <c r="K597" s="3"/>
      <c r="L597" s="3"/>
      <c r="M597" s="3"/>
      <c r="N597" s="3"/>
      <c r="O597" s="3"/>
      <c r="P597" s="3"/>
      <c r="Q597" s="3"/>
    </row>
    <row r="598" ht="15.75" customHeight="1">
      <c r="A598" s="10">
        <v>597.0</v>
      </c>
      <c r="B598" s="3" t="s">
        <v>169</v>
      </c>
      <c r="C598" s="3" t="s">
        <v>252</v>
      </c>
      <c r="D598" s="3" t="s">
        <v>48</v>
      </c>
      <c r="E598" s="10">
        <v>5.70056000193E11</v>
      </c>
      <c r="F598" s="3" t="s">
        <v>1797</v>
      </c>
      <c r="G598" s="3" t="s">
        <v>12</v>
      </c>
      <c r="H598" s="3" t="s">
        <v>70</v>
      </c>
      <c r="I598" s="3" t="s">
        <v>71</v>
      </c>
      <c r="J598" s="3" t="s">
        <v>72</v>
      </c>
      <c r="K598" s="3"/>
      <c r="L598" s="3"/>
      <c r="M598" s="3"/>
      <c r="N598" s="3"/>
      <c r="O598" s="3"/>
      <c r="P598" s="3"/>
      <c r="Q598" s="3"/>
    </row>
    <row r="599" ht="15.75" customHeight="1">
      <c r="A599" s="10">
        <v>598.0</v>
      </c>
      <c r="B599" s="3" t="s">
        <v>1798</v>
      </c>
      <c r="C599" s="3" t="s">
        <v>151</v>
      </c>
      <c r="D599" s="3" t="s">
        <v>515</v>
      </c>
      <c r="E599" s="10">
        <v>5.70056000194E11</v>
      </c>
      <c r="F599" s="3" t="s">
        <v>1799</v>
      </c>
      <c r="G599" s="3" t="s">
        <v>12</v>
      </c>
      <c r="H599" s="3" t="s">
        <v>70</v>
      </c>
      <c r="I599" s="3" t="s">
        <v>71</v>
      </c>
      <c r="J599" s="3" t="s">
        <v>72</v>
      </c>
      <c r="K599" s="3"/>
      <c r="L599" s="3"/>
      <c r="M599" s="3"/>
      <c r="N599" s="3"/>
      <c r="O599" s="3"/>
      <c r="P599" s="3"/>
      <c r="Q599" s="3"/>
    </row>
    <row r="600" ht="15.75" customHeight="1">
      <c r="A600" s="10">
        <v>599.0</v>
      </c>
      <c r="B600" s="3" t="s">
        <v>1800</v>
      </c>
      <c r="C600" s="3" t="s">
        <v>1801</v>
      </c>
      <c r="D600" s="3" t="s">
        <v>1802</v>
      </c>
      <c r="E600" s="10">
        <v>5.70056000196E11</v>
      </c>
      <c r="F600" s="3" t="s">
        <v>1803</v>
      </c>
      <c r="G600" s="3" t="s">
        <v>12</v>
      </c>
      <c r="H600" s="3" t="s">
        <v>70</v>
      </c>
      <c r="I600" s="3" t="s">
        <v>71</v>
      </c>
      <c r="J600" s="3" t="s">
        <v>72</v>
      </c>
      <c r="K600" s="3"/>
      <c r="L600" s="3"/>
      <c r="M600" s="3"/>
      <c r="N600" s="3"/>
      <c r="O600" s="3"/>
      <c r="P600" s="3"/>
      <c r="Q600" s="3"/>
    </row>
    <row r="601" ht="15.75" customHeight="1">
      <c r="A601" s="10">
        <v>600.0</v>
      </c>
      <c r="B601" s="3" t="s">
        <v>1804</v>
      </c>
      <c r="C601" s="3" t="s">
        <v>1434</v>
      </c>
      <c r="D601" s="3" t="s">
        <v>743</v>
      </c>
      <c r="E601" s="10">
        <v>5.70056000198E11</v>
      </c>
      <c r="F601" s="3" t="s">
        <v>1805</v>
      </c>
      <c r="G601" s="3" t="s">
        <v>50</v>
      </c>
      <c r="H601" s="3" t="s">
        <v>70</v>
      </c>
      <c r="I601" s="3" t="s">
        <v>71</v>
      </c>
      <c r="J601" s="3" t="s">
        <v>72</v>
      </c>
      <c r="K601" s="3"/>
      <c r="L601" s="3"/>
      <c r="M601" s="3"/>
      <c r="N601" s="3"/>
      <c r="O601" s="3"/>
      <c r="P601" s="3"/>
      <c r="Q601" s="3"/>
    </row>
    <row r="602" ht="15.75" customHeight="1">
      <c r="A602" s="10">
        <v>601.0</v>
      </c>
      <c r="B602" s="3" t="s">
        <v>1806</v>
      </c>
      <c r="C602" s="3" t="s">
        <v>136</v>
      </c>
      <c r="D602" s="3" t="s">
        <v>1477</v>
      </c>
      <c r="E602" s="10">
        <v>5.700560002E11</v>
      </c>
      <c r="F602" s="3" t="s">
        <v>1807</v>
      </c>
      <c r="G602" s="3" t="s">
        <v>62</v>
      </c>
      <c r="H602" s="3" t="s">
        <v>70</v>
      </c>
      <c r="I602" s="3" t="s">
        <v>71</v>
      </c>
      <c r="J602" s="3" t="s">
        <v>72</v>
      </c>
      <c r="K602" s="3"/>
      <c r="L602" s="3"/>
      <c r="M602" s="3"/>
      <c r="N602" s="3"/>
      <c r="O602" s="3"/>
      <c r="P602" s="3"/>
      <c r="Q602" s="3"/>
    </row>
    <row r="603" ht="15.75" customHeight="1">
      <c r="A603" s="10">
        <v>602.0</v>
      </c>
      <c r="B603" s="3" t="s">
        <v>1808</v>
      </c>
      <c r="C603" s="3" t="s">
        <v>1809</v>
      </c>
      <c r="D603" s="3" t="s">
        <v>1810</v>
      </c>
      <c r="E603" s="10">
        <v>5.70056000049E11</v>
      </c>
      <c r="F603" s="3" t="s">
        <v>1811</v>
      </c>
      <c r="G603" s="3" t="s">
        <v>50</v>
      </c>
      <c r="H603" s="3" t="s">
        <v>70</v>
      </c>
      <c r="I603" s="3" t="s">
        <v>71</v>
      </c>
      <c r="J603" s="3" t="s">
        <v>72</v>
      </c>
      <c r="K603" s="3"/>
      <c r="L603" s="3"/>
      <c r="M603" s="3"/>
      <c r="N603" s="3"/>
      <c r="O603" s="3"/>
      <c r="P603" s="3"/>
      <c r="Q603" s="3"/>
    </row>
    <row r="604" ht="15.75" customHeight="1">
      <c r="A604" s="10">
        <v>603.0</v>
      </c>
      <c r="B604" s="3" t="s">
        <v>1812</v>
      </c>
      <c r="C604" s="3" t="s">
        <v>181</v>
      </c>
      <c r="D604" s="3" t="s">
        <v>959</v>
      </c>
      <c r="E604" s="10">
        <v>5.70056000053E11</v>
      </c>
      <c r="F604" s="3" t="s">
        <v>1813</v>
      </c>
      <c r="G604" s="3" t="s">
        <v>1814</v>
      </c>
      <c r="H604" s="3" t="s">
        <v>70</v>
      </c>
      <c r="I604" s="3" t="s">
        <v>71</v>
      </c>
      <c r="J604" s="3" t="s">
        <v>72</v>
      </c>
      <c r="K604" s="3"/>
      <c r="L604" s="3"/>
      <c r="M604" s="3"/>
      <c r="N604" s="3"/>
      <c r="O604" s="3"/>
      <c r="P604" s="3"/>
      <c r="Q604" s="3"/>
    </row>
    <row r="605" ht="15.75" customHeight="1">
      <c r="A605" s="10">
        <v>604.0</v>
      </c>
      <c r="B605" s="3" t="s">
        <v>1815</v>
      </c>
      <c r="C605" s="3" t="s">
        <v>461</v>
      </c>
      <c r="D605" s="3" t="s">
        <v>1477</v>
      </c>
      <c r="E605" s="10">
        <v>5.7005600098E10</v>
      </c>
      <c r="F605" s="3" t="s">
        <v>1816</v>
      </c>
      <c r="G605" s="3" t="s">
        <v>12</v>
      </c>
      <c r="H605" s="3" t="s">
        <v>70</v>
      </c>
      <c r="I605" s="3" t="s">
        <v>71</v>
      </c>
      <c r="J605" s="3" t="s">
        <v>72</v>
      </c>
      <c r="K605" s="3"/>
      <c r="L605" s="3"/>
      <c r="M605" s="3"/>
      <c r="N605" s="3"/>
      <c r="O605" s="3"/>
      <c r="P605" s="3"/>
      <c r="Q605" s="3"/>
    </row>
    <row r="606" ht="15.75" customHeight="1">
      <c r="A606" s="10">
        <v>605.0</v>
      </c>
      <c r="B606" s="3" t="s">
        <v>667</v>
      </c>
      <c r="C606" s="3" t="s">
        <v>8</v>
      </c>
      <c r="D606" s="3" t="s">
        <v>1817</v>
      </c>
      <c r="E606" s="10">
        <v>5.70056000125E11</v>
      </c>
      <c r="F606" s="3" t="s">
        <v>1818</v>
      </c>
      <c r="G606" s="3" t="s">
        <v>12</v>
      </c>
      <c r="H606" s="3" t="s">
        <v>70</v>
      </c>
      <c r="I606" s="3" t="s">
        <v>71</v>
      </c>
      <c r="J606" s="3" t="s">
        <v>72</v>
      </c>
      <c r="K606" s="3"/>
      <c r="L606" s="3"/>
      <c r="M606" s="3"/>
      <c r="N606" s="3"/>
      <c r="O606" s="3"/>
      <c r="P606" s="3"/>
      <c r="Q606" s="3"/>
    </row>
    <row r="607" ht="15.75" customHeight="1">
      <c r="A607" s="10">
        <v>606.0</v>
      </c>
      <c r="B607" s="3" t="s">
        <v>120</v>
      </c>
      <c r="C607" s="3" t="s">
        <v>1819</v>
      </c>
      <c r="D607" s="3" t="s">
        <v>1820</v>
      </c>
      <c r="E607" s="10">
        <v>5.70056000135E11</v>
      </c>
      <c r="F607" s="3" t="s">
        <v>1821</v>
      </c>
      <c r="G607" s="3" t="s">
        <v>50</v>
      </c>
      <c r="H607" s="3" t="s">
        <v>70</v>
      </c>
      <c r="I607" s="3" t="s">
        <v>71</v>
      </c>
      <c r="J607" s="3" t="s">
        <v>72</v>
      </c>
      <c r="K607" s="3"/>
      <c r="L607" s="3"/>
      <c r="M607" s="3"/>
      <c r="N607" s="3"/>
      <c r="O607" s="3"/>
      <c r="P607" s="3"/>
      <c r="Q607" s="3"/>
    </row>
    <row r="608" ht="15.75" customHeight="1">
      <c r="A608" s="10">
        <v>607.0</v>
      </c>
      <c r="B608" s="3" t="s">
        <v>1822</v>
      </c>
      <c r="C608" s="3" t="s">
        <v>1823</v>
      </c>
      <c r="D608" s="3" t="s">
        <v>88</v>
      </c>
      <c r="E608" s="10">
        <v>5.70056000155E11</v>
      </c>
      <c r="F608" s="3" t="s">
        <v>1824</v>
      </c>
      <c r="G608" s="3" t="s">
        <v>62</v>
      </c>
      <c r="H608" s="3" t="s">
        <v>70</v>
      </c>
      <c r="I608" s="3" t="s">
        <v>71</v>
      </c>
      <c r="J608" s="3" t="s">
        <v>72</v>
      </c>
      <c r="K608" s="3"/>
      <c r="L608" s="3"/>
      <c r="M608" s="3"/>
      <c r="N608" s="3"/>
      <c r="O608" s="3"/>
      <c r="P608" s="3"/>
      <c r="Q608" s="3"/>
    </row>
    <row r="609" ht="15.75" customHeight="1">
      <c r="A609" s="10">
        <v>608.0</v>
      </c>
      <c r="B609" s="3" t="s">
        <v>1825</v>
      </c>
      <c r="C609" s="3" t="s">
        <v>124</v>
      </c>
      <c r="D609" s="3" t="s">
        <v>1826</v>
      </c>
      <c r="E609" s="10">
        <v>5.70056000197E11</v>
      </c>
      <c r="F609" s="3" t="s">
        <v>1827</v>
      </c>
      <c r="G609" s="3" t="s">
        <v>62</v>
      </c>
      <c r="H609" s="3" t="s">
        <v>70</v>
      </c>
      <c r="I609" s="3" t="s">
        <v>71</v>
      </c>
      <c r="J609" s="3" t="s">
        <v>72</v>
      </c>
      <c r="K609" s="3"/>
      <c r="L609" s="3"/>
      <c r="M609" s="3"/>
      <c r="N609" s="3"/>
      <c r="O609" s="3"/>
      <c r="P609" s="3"/>
      <c r="Q609" s="3"/>
    </row>
    <row r="610" ht="15.75" customHeight="1">
      <c r="A610" s="10">
        <v>609.0</v>
      </c>
      <c r="B610" s="3" t="s">
        <v>589</v>
      </c>
      <c r="C610" s="3" t="s">
        <v>33</v>
      </c>
      <c r="D610" s="3" t="s">
        <v>1828</v>
      </c>
      <c r="E610" s="10">
        <v>5.70056000034E11</v>
      </c>
      <c r="F610" s="3" t="s">
        <v>1829</v>
      </c>
      <c r="G610" s="3" t="s">
        <v>50</v>
      </c>
      <c r="H610" s="3" t="s">
        <v>70</v>
      </c>
      <c r="I610" s="3" t="s">
        <v>71</v>
      </c>
      <c r="J610" s="3" t="s">
        <v>72</v>
      </c>
      <c r="K610" s="3"/>
      <c r="L610" s="3"/>
      <c r="M610" s="3"/>
      <c r="N610" s="3"/>
      <c r="O610" s="3"/>
      <c r="P610" s="3"/>
      <c r="Q610" s="3"/>
    </row>
    <row r="611" ht="15.75" customHeight="1">
      <c r="A611" s="10">
        <v>610.0</v>
      </c>
      <c r="B611" s="3" t="s">
        <v>1830</v>
      </c>
      <c r="C611" s="3" t="s">
        <v>1831</v>
      </c>
      <c r="D611" s="3" t="s">
        <v>366</v>
      </c>
      <c r="E611" s="10">
        <v>5.70056000057E11</v>
      </c>
      <c r="F611" s="3" t="s">
        <v>1832</v>
      </c>
      <c r="G611" s="3" t="s">
        <v>50</v>
      </c>
      <c r="H611" s="3" t="s">
        <v>70</v>
      </c>
      <c r="I611" s="3" t="s">
        <v>71</v>
      </c>
      <c r="J611" s="3" t="s">
        <v>72</v>
      </c>
      <c r="K611" s="3"/>
      <c r="L611" s="3"/>
      <c r="M611" s="3"/>
      <c r="N611" s="3"/>
      <c r="O611" s="3"/>
      <c r="P611" s="3"/>
      <c r="Q611" s="3"/>
    </row>
    <row r="612" ht="15.75" customHeight="1">
      <c r="A612" s="10">
        <v>611.0</v>
      </c>
      <c r="B612" s="3" t="s">
        <v>1833</v>
      </c>
      <c r="C612" s="3" t="s">
        <v>1834</v>
      </c>
      <c r="D612" s="3" t="s">
        <v>1835</v>
      </c>
      <c r="E612" s="10">
        <v>5.700560001E11</v>
      </c>
      <c r="F612" s="3" t="s">
        <v>1836</v>
      </c>
      <c r="G612" s="3" t="s">
        <v>62</v>
      </c>
      <c r="H612" s="3" t="s">
        <v>70</v>
      </c>
      <c r="I612" s="3" t="s">
        <v>71</v>
      </c>
      <c r="J612" s="3" t="s">
        <v>72</v>
      </c>
      <c r="K612" s="3"/>
      <c r="L612" s="3"/>
      <c r="M612" s="3"/>
      <c r="N612" s="3"/>
      <c r="O612" s="3"/>
      <c r="P612" s="3"/>
      <c r="Q612" s="3"/>
    </row>
    <row r="613" ht="15.75" customHeight="1">
      <c r="A613" s="10">
        <v>612.0</v>
      </c>
      <c r="B613" s="3" t="s">
        <v>372</v>
      </c>
      <c r="C613" s="3" t="s">
        <v>1837</v>
      </c>
      <c r="D613" s="3" t="s">
        <v>88</v>
      </c>
      <c r="E613" s="10">
        <v>5.70056000199E11</v>
      </c>
      <c r="F613" s="3" t="s">
        <v>1838</v>
      </c>
      <c r="G613" s="3" t="s">
        <v>12</v>
      </c>
      <c r="H613" s="3" t="s">
        <v>70</v>
      </c>
      <c r="I613" s="3" t="s">
        <v>71</v>
      </c>
      <c r="J613" s="3" t="s">
        <v>72</v>
      </c>
      <c r="K613" s="3"/>
      <c r="L613" s="3"/>
      <c r="M613" s="3"/>
      <c r="N613" s="3"/>
      <c r="O613" s="3"/>
      <c r="P613" s="3"/>
      <c r="Q613" s="3"/>
    </row>
    <row r="614" ht="15.75" customHeight="1">
      <c r="A614" s="10">
        <v>613.0</v>
      </c>
      <c r="B614" s="3" t="s">
        <v>1839</v>
      </c>
      <c r="C614" s="3" t="s">
        <v>1840</v>
      </c>
      <c r="D614" s="3" t="s">
        <v>1841</v>
      </c>
      <c r="E614" s="10">
        <v>5.70056000061E11</v>
      </c>
      <c r="F614" s="3" t="s">
        <v>1842</v>
      </c>
      <c r="G614" s="3" t="s">
        <v>651</v>
      </c>
      <c r="H614" s="3" t="s">
        <v>70</v>
      </c>
      <c r="I614" s="3" t="s">
        <v>71</v>
      </c>
      <c r="J614" s="3" t="s">
        <v>72</v>
      </c>
      <c r="K614" s="3"/>
      <c r="L614" s="3"/>
      <c r="M614" s="3"/>
      <c r="N614" s="3"/>
      <c r="O614" s="3"/>
      <c r="P614" s="3"/>
      <c r="Q614" s="3"/>
    </row>
    <row r="615" ht="15.75" customHeight="1">
      <c r="A615" s="10">
        <v>614.0</v>
      </c>
      <c r="B615" s="3" t="s">
        <v>1843</v>
      </c>
      <c r="C615" s="3" t="s">
        <v>1844</v>
      </c>
      <c r="D615" s="3" t="s">
        <v>1845</v>
      </c>
      <c r="E615" s="10">
        <v>5.70056000078E11</v>
      </c>
      <c r="F615" s="3" t="s">
        <v>1846</v>
      </c>
      <c r="G615" s="3" t="s">
        <v>50</v>
      </c>
      <c r="H615" s="3" t="s">
        <v>70</v>
      </c>
      <c r="I615" s="3" t="s">
        <v>71</v>
      </c>
      <c r="J615" s="3" t="s">
        <v>72</v>
      </c>
      <c r="K615" s="3"/>
      <c r="L615" s="3"/>
      <c r="M615" s="3"/>
      <c r="N615" s="3"/>
      <c r="O615" s="3"/>
      <c r="P615" s="3"/>
      <c r="Q615" s="3"/>
    </row>
    <row r="616" ht="15.75" customHeight="1">
      <c r="A616" s="10">
        <v>615.0</v>
      </c>
      <c r="B616" s="3" t="s">
        <v>1847</v>
      </c>
      <c r="C616" s="3" t="s">
        <v>1848</v>
      </c>
      <c r="D616" s="3" t="s">
        <v>1849</v>
      </c>
      <c r="E616" s="10">
        <v>5.70056000108E11</v>
      </c>
      <c r="F616" s="3" t="s">
        <v>1850</v>
      </c>
      <c r="G616" s="3" t="s">
        <v>62</v>
      </c>
      <c r="H616" s="3" t="s">
        <v>70</v>
      </c>
      <c r="I616" s="3" t="s">
        <v>71</v>
      </c>
      <c r="J616" s="3" t="s">
        <v>72</v>
      </c>
      <c r="K616" s="3"/>
      <c r="L616" s="3"/>
      <c r="M616" s="3"/>
      <c r="N616" s="3"/>
      <c r="O616" s="3"/>
      <c r="P616" s="3"/>
      <c r="Q616" s="3"/>
    </row>
    <row r="617" ht="15.75" customHeight="1">
      <c r="A617" s="10">
        <v>616.0</v>
      </c>
      <c r="B617" s="3" t="s">
        <v>1851</v>
      </c>
      <c r="C617" s="3" t="s">
        <v>1852</v>
      </c>
      <c r="D617" s="3" t="s">
        <v>293</v>
      </c>
      <c r="E617" s="10">
        <v>5.70056000126E11</v>
      </c>
      <c r="F617" s="3" t="s">
        <v>1853</v>
      </c>
      <c r="G617" s="3" t="s">
        <v>1356</v>
      </c>
      <c r="H617" s="3" t="s">
        <v>70</v>
      </c>
      <c r="I617" s="3" t="s">
        <v>71</v>
      </c>
      <c r="J617" s="3" t="s">
        <v>72</v>
      </c>
      <c r="K617" s="3"/>
      <c r="L617" s="3"/>
      <c r="M617" s="3"/>
      <c r="N617" s="3"/>
      <c r="O617" s="3"/>
      <c r="P617" s="3"/>
      <c r="Q617" s="3"/>
    </row>
    <row r="618" ht="15.75" customHeight="1">
      <c r="A618" s="10">
        <v>617.0</v>
      </c>
      <c r="B618" s="3" t="s">
        <v>1854</v>
      </c>
      <c r="C618" s="3" t="s">
        <v>424</v>
      </c>
      <c r="D618" s="3" t="s">
        <v>1477</v>
      </c>
      <c r="E618" s="10">
        <v>5.70056000146E11</v>
      </c>
      <c r="F618" s="3" t="s">
        <v>1855</v>
      </c>
      <c r="G618" s="3" t="s">
        <v>651</v>
      </c>
      <c r="H618" s="3" t="s">
        <v>70</v>
      </c>
      <c r="I618" s="3" t="s">
        <v>71</v>
      </c>
      <c r="J618" s="3" t="s">
        <v>72</v>
      </c>
      <c r="K618" s="3"/>
      <c r="L618" s="3"/>
      <c r="M618" s="3"/>
      <c r="N618" s="3"/>
      <c r="O618" s="3"/>
      <c r="P618" s="3"/>
      <c r="Q618" s="3"/>
    </row>
    <row r="619" ht="15.75" customHeight="1">
      <c r="A619" s="10">
        <v>618.0</v>
      </c>
      <c r="B619" s="3" t="s">
        <v>1856</v>
      </c>
      <c r="C619" s="3" t="s">
        <v>1353</v>
      </c>
      <c r="D619" s="3" t="s">
        <v>1857</v>
      </c>
      <c r="E619" s="10">
        <v>5.7005600016E11</v>
      </c>
      <c r="F619" s="3" t="s">
        <v>1858</v>
      </c>
      <c r="G619" s="3" t="s">
        <v>12</v>
      </c>
      <c r="H619" s="3" t="s">
        <v>70</v>
      </c>
      <c r="I619" s="3" t="s">
        <v>71</v>
      </c>
      <c r="J619" s="3" t="s">
        <v>72</v>
      </c>
      <c r="K619" s="3"/>
      <c r="L619" s="3"/>
      <c r="M619" s="3"/>
      <c r="N619" s="3"/>
      <c r="O619" s="3"/>
      <c r="P619" s="3"/>
      <c r="Q619" s="3"/>
    </row>
    <row r="620" ht="15.75" customHeight="1">
      <c r="A620" s="10">
        <v>619.0</v>
      </c>
      <c r="B620" s="3" t="s">
        <v>1859</v>
      </c>
      <c r="C620" s="3" t="s">
        <v>33</v>
      </c>
      <c r="D620" s="3" t="s">
        <v>1860</v>
      </c>
      <c r="E620" s="10">
        <v>5.70056000202E11</v>
      </c>
      <c r="F620" s="3" t="s">
        <v>1861</v>
      </c>
      <c r="G620" s="3" t="s">
        <v>12</v>
      </c>
      <c r="H620" s="3" t="s">
        <v>70</v>
      </c>
      <c r="I620" s="3" t="s">
        <v>71</v>
      </c>
      <c r="J620" s="3" t="s">
        <v>72</v>
      </c>
      <c r="K620" s="3"/>
      <c r="L620" s="3"/>
      <c r="M620" s="3"/>
      <c r="N620" s="3"/>
      <c r="O620" s="3"/>
      <c r="P620" s="3"/>
      <c r="Q620" s="3"/>
    </row>
    <row r="621" ht="15.75" customHeight="1">
      <c r="A621" s="10">
        <v>620.0</v>
      </c>
      <c r="B621" s="3" t="s">
        <v>1862</v>
      </c>
      <c r="C621" s="3" t="s">
        <v>181</v>
      </c>
      <c r="D621" s="3" t="s">
        <v>1863</v>
      </c>
      <c r="E621" s="10">
        <v>5.70056000203E11</v>
      </c>
      <c r="F621" s="3" t="s">
        <v>1864</v>
      </c>
      <c r="G621" s="3" t="s">
        <v>12</v>
      </c>
      <c r="H621" s="3" t="s">
        <v>70</v>
      </c>
      <c r="I621" s="3" t="s">
        <v>71</v>
      </c>
      <c r="J621" s="3" t="s">
        <v>72</v>
      </c>
      <c r="K621" s="3"/>
      <c r="L621" s="3"/>
      <c r="M621" s="3"/>
      <c r="N621" s="3"/>
      <c r="O621" s="3"/>
      <c r="P621" s="3"/>
      <c r="Q621" s="3"/>
    </row>
    <row r="622" ht="15.75" customHeight="1">
      <c r="A622" s="10">
        <v>621.0</v>
      </c>
      <c r="B622" s="3" t="s">
        <v>51</v>
      </c>
      <c r="C622" s="3" t="s">
        <v>356</v>
      </c>
      <c r="D622" s="3" t="s">
        <v>16</v>
      </c>
      <c r="E622" s="10">
        <v>5.70056000204E11</v>
      </c>
      <c r="F622" s="3" t="s">
        <v>1865</v>
      </c>
      <c r="G622" s="3" t="s">
        <v>62</v>
      </c>
      <c r="H622" s="3" t="s">
        <v>70</v>
      </c>
      <c r="I622" s="3" t="s">
        <v>71</v>
      </c>
      <c r="J622" s="3" t="s">
        <v>72</v>
      </c>
      <c r="K622" s="3"/>
      <c r="L622" s="3"/>
      <c r="M622" s="3"/>
      <c r="N622" s="3"/>
      <c r="O622" s="3"/>
      <c r="P622" s="3"/>
      <c r="Q622" s="3"/>
    </row>
    <row r="623" ht="15.75" customHeight="1">
      <c r="A623" s="10">
        <v>622.0</v>
      </c>
      <c r="B623" s="3" t="s">
        <v>1866</v>
      </c>
      <c r="C623" s="3" t="s">
        <v>33</v>
      </c>
      <c r="D623" s="3" t="s">
        <v>130</v>
      </c>
      <c r="E623" s="10">
        <v>5.70056000205E11</v>
      </c>
      <c r="F623" s="3" t="s">
        <v>1867</v>
      </c>
      <c r="G623" s="3" t="s">
        <v>62</v>
      </c>
      <c r="H623" s="3" t="s">
        <v>70</v>
      </c>
      <c r="I623" s="3" t="s">
        <v>71</v>
      </c>
      <c r="J623" s="3" t="s">
        <v>72</v>
      </c>
      <c r="K623" s="3"/>
      <c r="L623" s="3"/>
      <c r="M623" s="3"/>
      <c r="N623" s="3"/>
      <c r="O623" s="3"/>
      <c r="P623" s="3"/>
      <c r="Q623" s="3"/>
    </row>
    <row r="624" ht="15.75" customHeight="1">
      <c r="A624" s="10">
        <v>623.0</v>
      </c>
      <c r="B624" s="3" t="s">
        <v>1868</v>
      </c>
      <c r="C624" s="3" t="s">
        <v>981</v>
      </c>
      <c r="D624" s="3" t="s">
        <v>1869</v>
      </c>
      <c r="E624" s="10">
        <v>5.70056000207E11</v>
      </c>
      <c r="F624" s="3" t="s">
        <v>1870</v>
      </c>
      <c r="G624" s="3" t="s">
        <v>50</v>
      </c>
      <c r="H624" s="3" t="s">
        <v>70</v>
      </c>
      <c r="I624" s="3" t="s">
        <v>71</v>
      </c>
      <c r="J624" s="3" t="s">
        <v>72</v>
      </c>
      <c r="K624" s="3"/>
      <c r="L624" s="3"/>
      <c r="M624" s="3"/>
      <c r="N624" s="3"/>
      <c r="O624" s="3"/>
      <c r="P624" s="3"/>
      <c r="Q624" s="3"/>
    </row>
    <row r="625" ht="15.75" customHeight="1">
      <c r="A625" s="10">
        <v>624.0</v>
      </c>
      <c r="B625" s="3" t="s">
        <v>1871</v>
      </c>
      <c r="C625" s="3" t="s">
        <v>1872</v>
      </c>
      <c r="D625" s="3" t="s">
        <v>1873</v>
      </c>
      <c r="E625" s="10">
        <v>5.70056000209E11</v>
      </c>
      <c r="F625" s="3" t="s">
        <v>1874</v>
      </c>
      <c r="G625" s="3" t="s">
        <v>12</v>
      </c>
      <c r="H625" s="3" t="s">
        <v>70</v>
      </c>
      <c r="I625" s="3" t="s">
        <v>71</v>
      </c>
      <c r="J625" s="3" t="s">
        <v>72</v>
      </c>
      <c r="K625" s="3"/>
      <c r="L625" s="3"/>
      <c r="M625" s="3"/>
      <c r="N625" s="3"/>
      <c r="O625" s="3"/>
      <c r="P625" s="3"/>
      <c r="Q625" s="3"/>
    </row>
    <row r="626" ht="15.75" customHeight="1">
      <c r="A626" s="10">
        <v>625.0</v>
      </c>
      <c r="B626" s="3" t="s">
        <v>1875</v>
      </c>
      <c r="C626" s="3" t="s">
        <v>1876</v>
      </c>
      <c r="D626" s="3" t="s">
        <v>1877</v>
      </c>
      <c r="E626" s="10">
        <v>5.70056000211E11</v>
      </c>
      <c r="F626" s="3" t="s">
        <v>1878</v>
      </c>
      <c r="G626" s="3" t="s">
        <v>12</v>
      </c>
      <c r="H626" s="3" t="s">
        <v>70</v>
      </c>
      <c r="I626" s="3" t="s">
        <v>71</v>
      </c>
      <c r="J626" s="3" t="s">
        <v>72</v>
      </c>
      <c r="K626" s="3"/>
      <c r="L626" s="3"/>
      <c r="M626" s="3"/>
      <c r="N626" s="3"/>
      <c r="O626" s="3"/>
      <c r="P626" s="3"/>
      <c r="Q626" s="3"/>
    </row>
    <row r="627" ht="15.75" customHeight="1">
      <c r="A627" s="10">
        <v>626.0</v>
      </c>
      <c r="B627" s="3" t="s">
        <v>1879</v>
      </c>
      <c r="C627" s="3" t="s">
        <v>1880</v>
      </c>
      <c r="D627" s="3" t="s">
        <v>1881</v>
      </c>
      <c r="E627" s="10">
        <v>5.70056000213E11</v>
      </c>
      <c r="F627" s="3" t="s">
        <v>1882</v>
      </c>
      <c r="G627" s="3" t="s">
        <v>50</v>
      </c>
      <c r="H627" s="3" t="s">
        <v>1883</v>
      </c>
      <c r="I627" s="3" t="s">
        <v>70</v>
      </c>
      <c r="J627" s="3" t="s">
        <v>71</v>
      </c>
      <c r="K627" s="3" t="s">
        <v>72</v>
      </c>
      <c r="L627" s="3"/>
      <c r="M627" s="3"/>
      <c r="N627" s="3"/>
      <c r="O627" s="3"/>
      <c r="P627" s="3"/>
      <c r="Q627" s="3"/>
    </row>
    <row r="628" ht="15.75" customHeight="1">
      <c r="A628" s="10">
        <v>627.0</v>
      </c>
      <c r="B628" s="3" t="s">
        <v>1884</v>
      </c>
      <c r="C628" s="3" t="s">
        <v>1885</v>
      </c>
      <c r="D628" s="3" t="s">
        <v>1886</v>
      </c>
      <c r="E628" s="10">
        <v>5.70056000214E11</v>
      </c>
      <c r="F628" s="3" t="s">
        <v>1887</v>
      </c>
      <c r="G628" s="3" t="s">
        <v>62</v>
      </c>
      <c r="H628" s="3" t="s">
        <v>1888</v>
      </c>
      <c r="I628" s="3" t="s">
        <v>70</v>
      </c>
      <c r="J628" s="3" t="s">
        <v>71</v>
      </c>
      <c r="K628" s="3" t="s">
        <v>72</v>
      </c>
      <c r="L628" s="3"/>
      <c r="M628" s="3"/>
      <c r="N628" s="3"/>
      <c r="O628" s="3"/>
      <c r="P628" s="3"/>
      <c r="Q628" s="3"/>
    </row>
    <row r="629" ht="15.75" customHeight="1">
      <c r="A629" s="10">
        <v>628.0</v>
      </c>
      <c r="B629" s="3" t="s">
        <v>1889</v>
      </c>
      <c r="C629" s="3" t="s">
        <v>1024</v>
      </c>
      <c r="D629" s="3" t="s">
        <v>1014</v>
      </c>
      <c r="E629" s="10">
        <v>5.70056000217E11</v>
      </c>
      <c r="F629" s="3" t="s">
        <v>1890</v>
      </c>
      <c r="G629" s="3" t="s">
        <v>62</v>
      </c>
      <c r="H629" s="3" t="s">
        <v>70</v>
      </c>
      <c r="I629" s="3" t="s">
        <v>71</v>
      </c>
      <c r="J629" s="3" t="s">
        <v>72</v>
      </c>
      <c r="K629" s="3"/>
      <c r="L629" s="3"/>
      <c r="M629" s="3"/>
      <c r="N629" s="3"/>
      <c r="O629" s="3"/>
      <c r="P629" s="3"/>
      <c r="Q629" s="3"/>
    </row>
    <row r="630" ht="15.75" customHeight="1">
      <c r="A630" s="10">
        <v>629.0</v>
      </c>
      <c r="B630" s="3" t="s">
        <v>1891</v>
      </c>
      <c r="C630" s="3" t="s">
        <v>1892</v>
      </c>
      <c r="D630" s="3" t="s">
        <v>1893</v>
      </c>
      <c r="E630" s="10">
        <v>5.70056000218E11</v>
      </c>
      <c r="F630" s="3" t="s">
        <v>1894</v>
      </c>
      <c r="G630" s="3" t="s">
        <v>62</v>
      </c>
      <c r="H630" s="3" t="s">
        <v>1895</v>
      </c>
      <c r="I630" s="3" t="s">
        <v>70</v>
      </c>
      <c r="J630" s="3" t="s">
        <v>71</v>
      </c>
      <c r="K630" s="3" t="s">
        <v>72</v>
      </c>
      <c r="L630" s="3"/>
      <c r="M630" s="3"/>
      <c r="N630" s="3"/>
      <c r="O630" s="3"/>
      <c r="P630" s="3"/>
      <c r="Q630" s="3"/>
    </row>
    <row r="631" ht="15.75" customHeight="1">
      <c r="A631" s="10">
        <v>630.0</v>
      </c>
      <c r="B631" s="3" t="s">
        <v>1896</v>
      </c>
      <c r="C631" s="3" t="s">
        <v>1897</v>
      </c>
      <c r="D631" s="3" t="s">
        <v>1898</v>
      </c>
      <c r="E631" s="10">
        <v>5.70056000221E11</v>
      </c>
      <c r="F631" s="3" t="s">
        <v>1899</v>
      </c>
      <c r="G631" s="3" t="s">
        <v>197</v>
      </c>
      <c r="H631" s="3" t="s">
        <v>70</v>
      </c>
      <c r="I631" s="3" t="s">
        <v>1900</v>
      </c>
      <c r="J631" s="3" t="s">
        <v>71</v>
      </c>
      <c r="K631" s="3" t="s">
        <v>72</v>
      </c>
      <c r="L631" s="3"/>
      <c r="M631" s="3"/>
      <c r="N631" s="3"/>
      <c r="O631" s="3"/>
      <c r="P631" s="3"/>
      <c r="Q631" s="3"/>
    </row>
    <row r="632" ht="15.75" customHeight="1">
      <c r="A632" s="10">
        <v>631.0</v>
      </c>
      <c r="B632" s="3" t="s">
        <v>1901</v>
      </c>
      <c r="C632" s="3" t="s">
        <v>1902</v>
      </c>
      <c r="D632" s="3" t="s">
        <v>1903</v>
      </c>
      <c r="E632" s="10">
        <v>5.70056000229E11</v>
      </c>
      <c r="F632" s="3" t="s">
        <v>1904</v>
      </c>
      <c r="G632" s="3" t="s">
        <v>37</v>
      </c>
      <c r="H632" s="3" t="s">
        <v>70</v>
      </c>
      <c r="I632" s="3" t="s">
        <v>71</v>
      </c>
      <c r="J632" s="3" t="s">
        <v>72</v>
      </c>
      <c r="K632" s="3"/>
      <c r="L632" s="3"/>
      <c r="M632" s="3"/>
      <c r="N632" s="3"/>
      <c r="O632" s="3"/>
      <c r="P632" s="3"/>
      <c r="Q632" s="3"/>
    </row>
    <row r="633" ht="15.75" customHeight="1">
      <c r="A633" s="10">
        <v>632.0</v>
      </c>
      <c r="B633" s="3" t="s">
        <v>1905</v>
      </c>
      <c r="C633" s="3" t="s">
        <v>1906</v>
      </c>
      <c r="D633" s="3" t="s">
        <v>1907</v>
      </c>
      <c r="E633" s="10">
        <v>5.7005600023E11</v>
      </c>
      <c r="F633" s="3" t="s">
        <v>1908</v>
      </c>
      <c r="G633" s="3" t="s">
        <v>197</v>
      </c>
      <c r="H633" s="3" t="s">
        <v>70</v>
      </c>
      <c r="I633" s="3" t="s">
        <v>71</v>
      </c>
      <c r="J633" s="3" t="s">
        <v>72</v>
      </c>
      <c r="K633" s="3"/>
      <c r="L633" s="3"/>
      <c r="M633" s="3"/>
      <c r="N633" s="3"/>
      <c r="O633" s="3"/>
      <c r="P633" s="3"/>
      <c r="Q633" s="3"/>
    </row>
    <row r="634" ht="15.75" customHeight="1">
      <c r="A634" s="10">
        <v>633.0</v>
      </c>
      <c r="B634" s="3" t="s">
        <v>1909</v>
      </c>
      <c r="C634" s="3" t="s">
        <v>1910</v>
      </c>
      <c r="D634" s="3" t="s">
        <v>1911</v>
      </c>
      <c r="E634" s="10">
        <v>5.70056000232E11</v>
      </c>
      <c r="F634" s="3" t="s">
        <v>1912</v>
      </c>
      <c r="G634" s="3" t="s">
        <v>12</v>
      </c>
      <c r="H634" s="3" t="s">
        <v>1895</v>
      </c>
      <c r="I634" s="3" t="s">
        <v>70</v>
      </c>
      <c r="J634" s="3" t="s">
        <v>71</v>
      </c>
      <c r="K634" s="3" t="s">
        <v>72</v>
      </c>
      <c r="L634" s="3"/>
      <c r="M634" s="3"/>
      <c r="N634" s="3"/>
      <c r="O634" s="3"/>
      <c r="P634" s="3"/>
      <c r="Q634" s="3"/>
    </row>
    <row r="635" ht="15.75" customHeight="1">
      <c r="A635" s="10">
        <v>634.0</v>
      </c>
      <c r="B635" s="3" t="s">
        <v>1913</v>
      </c>
      <c r="C635" s="3" t="s">
        <v>1914</v>
      </c>
      <c r="D635" s="3" t="s">
        <v>1403</v>
      </c>
      <c r="E635" s="10">
        <v>5.70056000233E11</v>
      </c>
      <c r="F635" s="3" t="s">
        <v>1915</v>
      </c>
      <c r="G635" s="3" t="s">
        <v>197</v>
      </c>
      <c r="H635" s="3" t="s">
        <v>1895</v>
      </c>
      <c r="I635" s="3" t="s">
        <v>70</v>
      </c>
      <c r="J635" s="3" t="s">
        <v>71</v>
      </c>
      <c r="K635" s="3" t="s">
        <v>72</v>
      </c>
      <c r="L635" s="3"/>
      <c r="M635" s="3"/>
      <c r="N635" s="3"/>
      <c r="O635" s="3"/>
      <c r="P635" s="3"/>
      <c r="Q635" s="3"/>
    </row>
    <row r="636" ht="15.75" customHeight="1">
      <c r="A636" s="10">
        <v>635.0</v>
      </c>
      <c r="B636" s="3" t="s">
        <v>1916</v>
      </c>
      <c r="C636" s="3" t="s">
        <v>1917</v>
      </c>
      <c r="D636" s="3" t="s">
        <v>1918</v>
      </c>
      <c r="E636" s="10">
        <v>5.70056000234E11</v>
      </c>
      <c r="F636" s="3" t="s">
        <v>1919</v>
      </c>
      <c r="G636" s="3" t="s">
        <v>197</v>
      </c>
      <c r="H636" s="3" t="s">
        <v>1920</v>
      </c>
      <c r="I636" s="3" t="s">
        <v>1900</v>
      </c>
      <c r="J636" s="3" t="s">
        <v>71</v>
      </c>
      <c r="K636" s="3" t="s">
        <v>72</v>
      </c>
      <c r="L636" s="3"/>
      <c r="M636" s="3"/>
      <c r="N636" s="3"/>
      <c r="O636" s="3"/>
      <c r="P636" s="3"/>
      <c r="Q636" s="3"/>
    </row>
    <row r="637" ht="15.75" customHeight="1">
      <c r="A637" s="10">
        <v>636.0</v>
      </c>
      <c r="B637" s="3" t="s">
        <v>1921</v>
      </c>
      <c r="C637" s="3" t="s">
        <v>1922</v>
      </c>
      <c r="D637" s="3" t="s">
        <v>1062</v>
      </c>
      <c r="E637" s="10">
        <v>5.70056000236E11</v>
      </c>
      <c r="F637" s="3" t="s">
        <v>1923</v>
      </c>
      <c r="G637" s="3" t="s">
        <v>197</v>
      </c>
      <c r="H637" s="3" t="s">
        <v>1924</v>
      </c>
      <c r="I637" s="3" t="s">
        <v>70</v>
      </c>
      <c r="J637" s="3" t="s">
        <v>71</v>
      </c>
      <c r="K637" s="3" t="s">
        <v>72</v>
      </c>
      <c r="L637" s="3"/>
      <c r="M637" s="3"/>
      <c r="N637" s="3"/>
      <c r="O637" s="3"/>
      <c r="P637" s="3"/>
      <c r="Q637" s="3"/>
    </row>
    <row r="638" ht="15.75" customHeight="1">
      <c r="A638" s="10">
        <v>637.0</v>
      </c>
      <c r="B638" s="3" t="s">
        <v>1925</v>
      </c>
      <c r="C638" s="3" t="s">
        <v>133</v>
      </c>
      <c r="D638" s="3" t="s">
        <v>1926</v>
      </c>
      <c r="E638" s="10">
        <v>5.70056000237E11</v>
      </c>
      <c r="F638" s="3" t="s">
        <v>1927</v>
      </c>
      <c r="G638" s="3" t="s">
        <v>197</v>
      </c>
      <c r="H638" s="3" t="s">
        <v>70</v>
      </c>
      <c r="I638" s="3" t="s">
        <v>71</v>
      </c>
      <c r="J638" s="3" t="s">
        <v>72</v>
      </c>
      <c r="K638" s="3"/>
      <c r="L638" s="3"/>
      <c r="M638" s="3"/>
      <c r="N638" s="3"/>
      <c r="O638" s="3"/>
      <c r="P638" s="3"/>
      <c r="Q638" s="3"/>
    </row>
    <row r="639" ht="15.75" customHeight="1">
      <c r="A639" s="10">
        <v>638.0</v>
      </c>
      <c r="B639" s="3" t="s">
        <v>1928</v>
      </c>
      <c r="C639" s="3" t="s">
        <v>1929</v>
      </c>
      <c r="D639" s="3" t="s">
        <v>1930</v>
      </c>
      <c r="E639" s="10">
        <v>5.70056000241E11</v>
      </c>
      <c r="F639" s="3" t="s">
        <v>1931</v>
      </c>
      <c r="G639" s="3" t="s">
        <v>62</v>
      </c>
      <c r="H639" s="3" t="s">
        <v>70</v>
      </c>
      <c r="I639" s="3" t="s">
        <v>71</v>
      </c>
      <c r="J639" s="3" t="s">
        <v>72</v>
      </c>
      <c r="K639" s="3"/>
      <c r="L639" s="3"/>
      <c r="M639" s="3"/>
      <c r="N639" s="3"/>
      <c r="O639" s="3"/>
      <c r="P639" s="3"/>
      <c r="Q639" s="3"/>
    </row>
    <row r="640" ht="15.75" customHeight="1">
      <c r="A640" s="10">
        <v>639.0</v>
      </c>
      <c r="B640" s="3" t="s">
        <v>1932</v>
      </c>
      <c r="C640" s="3" t="s">
        <v>1933</v>
      </c>
      <c r="D640" s="3" t="s">
        <v>1293</v>
      </c>
      <c r="E640" s="10">
        <v>5.70056000242E11</v>
      </c>
      <c r="F640" s="3" t="s">
        <v>1934</v>
      </c>
      <c r="G640" s="3" t="s">
        <v>197</v>
      </c>
      <c r="H640" s="3" t="s">
        <v>70</v>
      </c>
      <c r="I640" s="3" t="s">
        <v>1900</v>
      </c>
      <c r="J640" s="3" t="s">
        <v>71</v>
      </c>
      <c r="K640" s="3" t="s">
        <v>72</v>
      </c>
      <c r="L640" s="3"/>
      <c r="M640" s="3"/>
      <c r="N640" s="3"/>
      <c r="O640" s="3"/>
      <c r="P640" s="3"/>
      <c r="Q640" s="3"/>
    </row>
    <row r="641" ht="15.75" customHeight="1">
      <c r="A641" s="10">
        <v>640.0</v>
      </c>
      <c r="B641" s="3" t="s">
        <v>1935</v>
      </c>
      <c r="C641" s="3" t="s">
        <v>1936</v>
      </c>
      <c r="D641" s="3" t="s">
        <v>470</v>
      </c>
      <c r="E641" s="10">
        <v>5.70056000248E11</v>
      </c>
      <c r="F641" s="3" t="s">
        <v>1937</v>
      </c>
      <c r="G641" s="3" t="s">
        <v>50</v>
      </c>
      <c r="H641" s="3" t="s">
        <v>70</v>
      </c>
      <c r="I641" s="3" t="s">
        <v>71</v>
      </c>
      <c r="J641" s="3" t="s">
        <v>72</v>
      </c>
      <c r="K641" s="3"/>
      <c r="L641" s="3"/>
      <c r="M641" s="3"/>
      <c r="N641" s="3"/>
      <c r="O641" s="3"/>
      <c r="P641" s="3"/>
      <c r="Q641" s="3"/>
    </row>
    <row r="642" ht="15.75" customHeight="1">
      <c r="A642" s="10">
        <v>641.0</v>
      </c>
      <c r="B642" s="3" t="s">
        <v>1938</v>
      </c>
      <c r="C642" s="3" t="s">
        <v>1939</v>
      </c>
      <c r="D642" s="3" t="s">
        <v>1940</v>
      </c>
      <c r="E642" s="10">
        <v>5.70056000251E11</v>
      </c>
      <c r="F642" s="3" t="s">
        <v>1941</v>
      </c>
      <c r="G642" s="3" t="s">
        <v>50</v>
      </c>
      <c r="H642" s="3" t="s">
        <v>70</v>
      </c>
      <c r="I642" s="3" t="s">
        <v>71</v>
      </c>
      <c r="J642" s="3" t="s">
        <v>72</v>
      </c>
      <c r="K642" s="3"/>
      <c r="L642" s="3"/>
      <c r="M642" s="3"/>
      <c r="N642" s="3"/>
      <c r="O642" s="3"/>
      <c r="P642" s="3"/>
      <c r="Q642" s="3"/>
    </row>
    <row r="643" ht="15.75" customHeight="1">
      <c r="A643" s="10">
        <v>642.0</v>
      </c>
      <c r="B643" s="3" t="s">
        <v>1942</v>
      </c>
      <c r="C643" s="3" t="s">
        <v>1943</v>
      </c>
      <c r="D643" s="3" t="s">
        <v>1898</v>
      </c>
      <c r="E643" s="10">
        <v>5.70056000253E11</v>
      </c>
      <c r="F643" s="3" t="s">
        <v>1944</v>
      </c>
      <c r="G643" s="3" t="s">
        <v>62</v>
      </c>
      <c r="H643" s="3" t="s">
        <v>1945</v>
      </c>
      <c r="I643" s="3" t="s">
        <v>70</v>
      </c>
      <c r="J643" s="3" t="s">
        <v>71</v>
      </c>
      <c r="K643" s="3" t="s">
        <v>72</v>
      </c>
      <c r="L643" s="3"/>
      <c r="M643" s="3"/>
      <c r="N643" s="3"/>
      <c r="O643" s="3"/>
      <c r="P643" s="3"/>
      <c r="Q643" s="3"/>
    </row>
    <row r="644" ht="15.75" customHeight="1">
      <c r="A644" s="10">
        <v>643.0</v>
      </c>
      <c r="B644" s="3" t="s">
        <v>1946</v>
      </c>
      <c r="C644" s="3" t="s">
        <v>1947</v>
      </c>
      <c r="D644" s="3" t="s">
        <v>1948</v>
      </c>
      <c r="E644" s="10">
        <v>5.70056000254E11</v>
      </c>
      <c r="F644" s="3" t="s">
        <v>1949</v>
      </c>
      <c r="G644" s="3" t="s">
        <v>12</v>
      </c>
      <c r="H644" s="3" t="s">
        <v>1950</v>
      </c>
      <c r="I644" s="3" t="s">
        <v>70</v>
      </c>
      <c r="J644" s="3" t="s">
        <v>71</v>
      </c>
      <c r="K644" s="3" t="s">
        <v>72</v>
      </c>
      <c r="L644" s="3"/>
      <c r="M644" s="3"/>
      <c r="N644" s="3"/>
      <c r="O644" s="3"/>
      <c r="P644" s="3"/>
      <c r="Q644" s="3"/>
    </row>
    <row r="645" ht="15.75" customHeight="1">
      <c r="A645" s="10">
        <v>644.0</v>
      </c>
      <c r="B645" s="3" t="s">
        <v>1951</v>
      </c>
      <c r="C645" s="3" t="s">
        <v>1952</v>
      </c>
      <c r="D645" s="3" t="s">
        <v>1869</v>
      </c>
      <c r="E645" s="10">
        <v>5.7005600026E11</v>
      </c>
      <c r="F645" s="3" t="s">
        <v>1953</v>
      </c>
      <c r="G645" s="3" t="s">
        <v>197</v>
      </c>
      <c r="H645" s="3" t="s">
        <v>1954</v>
      </c>
      <c r="I645" s="3" t="s">
        <v>70</v>
      </c>
      <c r="J645" s="3" t="s">
        <v>71</v>
      </c>
      <c r="K645" s="3" t="s">
        <v>72</v>
      </c>
      <c r="L645" s="3"/>
      <c r="M645" s="3"/>
      <c r="N645" s="3"/>
      <c r="O645" s="3"/>
      <c r="P645" s="3"/>
      <c r="Q645" s="3"/>
    </row>
    <row r="646" ht="15.75" customHeight="1">
      <c r="A646" s="10">
        <v>645.0</v>
      </c>
      <c r="B646" s="3" t="s">
        <v>1955</v>
      </c>
      <c r="C646" s="3" t="s">
        <v>1956</v>
      </c>
      <c r="D646" s="3" t="s">
        <v>1957</v>
      </c>
      <c r="E646" s="10">
        <v>5.70056000261E11</v>
      </c>
      <c r="F646" s="3" t="s">
        <v>1958</v>
      </c>
      <c r="G646" s="3" t="s">
        <v>37</v>
      </c>
      <c r="H646" s="3" t="s">
        <v>1959</v>
      </c>
      <c r="I646" s="3" t="s">
        <v>70</v>
      </c>
      <c r="J646" s="3" t="s">
        <v>71</v>
      </c>
      <c r="K646" s="3" t="s">
        <v>72</v>
      </c>
      <c r="L646" s="3"/>
      <c r="M646" s="3"/>
      <c r="N646" s="3"/>
      <c r="O646" s="3"/>
      <c r="P646" s="3"/>
      <c r="Q646" s="3"/>
    </row>
    <row r="647" ht="15.75" customHeight="1">
      <c r="A647" s="10">
        <v>646.0</v>
      </c>
      <c r="B647" s="3" t="s">
        <v>1960</v>
      </c>
      <c r="C647" s="3" t="s">
        <v>1961</v>
      </c>
      <c r="D647" s="3" t="s">
        <v>1962</v>
      </c>
      <c r="E647" s="10">
        <v>5.70056000262E11</v>
      </c>
      <c r="F647" s="3" t="s">
        <v>1639</v>
      </c>
      <c r="G647" s="3" t="s">
        <v>1963</v>
      </c>
      <c r="H647" s="12" t="s">
        <v>1964</v>
      </c>
      <c r="I647" s="3"/>
      <c r="J647" s="3"/>
      <c r="K647" s="3"/>
      <c r="L647" s="3"/>
      <c r="M647" s="3"/>
      <c r="N647" s="3"/>
      <c r="O647" s="3"/>
      <c r="P647" s="3"/>
      <c r="Q647" s="3"/>
    </row>
    <row r="648" ht="15.75" customHeight="1">
      <c r="A648" s="10">
        <v>647.0</v>
      </c>
      <c r="B648" s="3" t="s">
        <v>1965</v>
      </c>
      <c r="C648" s="3" t="s">
        <v>9</v>
      </c>
      <c r="D648" s="3" t="s">
        <v>1966</v>
      </c>
      <c r="E648" s="10">
        <v>5.70056000264E11</v>
      </c>
      <c r="F648" s="3" t="s">
        <v>1967</v>
      </c>
      <c r="G648" s="3" t="s">
        <v>1814</v>
      </c>
      <c r="H648" s="12" t="s">
        <v>1968</v>
      </c>
      <c r="I648" s="3"/>
      <c r="J648" s="3"/>
      <c r="K648" s="3"/>
      <c r="L648" s="3"/>
      <c r="M648" s="3"/>
      <c r="N648" s="3"/>
      <c r="O648" s="3"/>
      <c r="P648" s="3"/>
      <c r="Q648" s="3"/>
    </row>
    <row r="649" ht="15.75" customHeight="1">
      <c r="A649" s="10">
        <v>648.0</v>
      </c>
      <c r="B649" s="3" t="s">
        <v>1969</v>
      </c>
      <c r="C649" s="3" t="s">
        <v>513</v>
      </c>
      <c r="D649" s="3" t="s">
        <v>504</v>
      </c>
      <c r="E649" s="10">
        <v>5.70056000265E11</v>
      </c>
      <c r="F649" s="3" t="s">
        <v>1970</v>
      </c>
      <c r="G649" s="3" t="s">
        <v>50</v>
      </c>
      <c r="H649" s="12" t="s">
        <v>1971</v>
      </c>
      <c r="I649" s="3"/>
      <c r="J649" s="3"/>
      <c r="K649" s="3"/>
      <c r="L649" s="3"/>
      <c r="M649" s="3"/>
      <c r="N649" s="3"/>
      <c r="O649" s="3"/>
      <c r="P649" s="3"/>
      <c r="Q649" s="3"/>
    </row>
    <row r="650" ht="15.75" customHeight="1">
      <c r="A650" s="10">
        <v>649.0</v>
      </c>
      <c r="B650" s="3" t="s">
        <v>1972</v>
      </c>
      <c r="C650" s="3" t="s">
        <v>1973</v>
      </c>
      <c r="D650" s="3" t="s">
        <v>1974</v>
      </c>
      <c r="E650" s="10">
        <v>5.70056000266E11</v>
      </c>
      <c r="F650" s="3" t="s">
        <v>1975</v>
      </c>
      <c r="G650" s="3" t="s">
        <v>12</v>
      </c>
      <c r="H650" s="12" t="s">
        <v>13</v>
      </c>
      <c r="I650" s="3"/>
      <c r="J650" s="3"/>
      <c r="K650" s="3"/>
      <c r="L650" s="3"/>
      <c r="M650" s="3"/>
      <c r="N650" s="3"/>
      <c r="O650" s="3"/>
      <c r="P650" s="3"/>
      <c r="Q650" s="3"/>
    </row>
    <row r="651" ht="15.75" customHeight="1">
      <c r="A651" s="10">
        <v>650.0</v>
      </c>
      <c r="B651" s="3" t="s">
        <v>1976</v>
      </c>
      <c r="C651" s="3" t="s">
        <v>424</v>
      </c>
      <c r="D651" s="3" t="s">
        <v>1014</v>
      </c>
      <c r="E651" s="10">
        <v>5.70056000267E11</v>
      </c>
      <c r="F651" s="3" t="s">
        <v>1977</v>
      </c>
      <c r="G651" s="3" t="s">
        <v>12</v>
      </c>
      <c r="H651" s="12" t="s">
        <v>13</v>
      </c>
      <c r="I651" s="3"/>
      <c r="J651" s="3"/>
      <c r="K651" s="3"/>
      <c r="L651" s="3"/>
      <c r="M651" s="3"/>
      <c r="N651" s="3"/>
      <c r="O651" s="3"/>
      <c r="P651" s="3"/>
      <c r="Q651" s="3"/>
    </row>
    <row r="652" ht="15.75" customHeight="1">
      <c r="A652" s="10">
        <v>651.0</v>
      </c>
      <c r="B652" s="3" t="s">
        <v>1978</v>
      </c>
      <c r="C652" s="3" t="s">
        <v>1979</v>
      </c>
      <c r="D652" s="3" t="s">
        <v>1980</v>
      </c>
      <c r="E652" s="10">
        <v>5.70056000268E11</v>
      </c>
      <c r="F652" s="3" t="s">
        <v>1981</v>
      </c>
      <c r="G652" s="3" t="s">
        <v>12</v>
      </c>
      <c r="H652" s="12" t="s">
        <v>1968</v>
      </c>
      <c r="I652" s="3"/>
      <c r="J652" s="3"/>
      <c r="K652" s="3"/>
      <c r="L652" s="3"/>
      <c r="M652" s="3"/>
      <c r="N652" s="3"/>
      <c r="O652" s="3"/>
      <c r="P652" s="3"/>
      <c r="Q652" s="3"/>
    </row>
    <row r="653" ht="15.75" customHeight="1">
      <c r="A653" s="10">
        <v>652.0</v>
      </c>
      <c r="B653" s="3" t="s">
        <v>1982</v>
      </c>
      <c r="C653" s="3" t="s">
        <v>154</v>
      </c>
      <c r="D653" s="3" t="s">
        <v>195</v>
      </c>
      <c r="E653" s="10">
        <v>5.7005600027E11</v>
      </c>
      <c r="F653" s="3" t="s">
        <v>1983</v>
      </c>
      <c r="G653" s="3" t="s">
        <v>50</v>
      </c>
      <c r="H653" s="12" t="s">
        <v>1984</v>
      </c>
      <c r="I653" s="3"/>
      <c r="J653" s="3"/>
      <c r="K653" s="3"/>
      <c r="L653" s="3"/>
      <c r="M653" s="3"/>
      <c r="N653" s="3"/>
      <c r="O653" s="3"/>
      <c r="P653" s="3"/>
      <c r="Q653" s="3"/>
    </row>
    <row r="654" ht="15.75" customHeight="1">
      <c r="A654" s="10">
        <v>653.0</v>
      </c>
      <c r="B654" s="3" t="s">
        <v>1985</v>
      </c>
      <c r="C654" s="3" t="s">
        <v>1986</v>
      </c>
      <c r="D654" s="3" t="s">
        <v>1987</v>
      </c>
      <c r="E654" s="10">
        <v>5.70056000272E11</v>
      </c>
      <c r="F654" s="3" t="s">
        <v>1988</v>
      </c>
      <c r="G654" s="3" t="s">
        <v>27</v>
      </c>
      <c r="H654" s="12" t="s">
        <v>1989</v>
      </c>
      <c r="I654" s="3"/>
      <c r="J654" s="3"/>
      <c r="K654" s="3"/>
      <c r="L654" s="3"/>
      <c r="M654" s="3"/>
      <c r="N654" s="3"/>
      <c r="O654" s="3"/>
      <c r="P654" s="3"/>
      <c r="Q654" s="3"/>
    </row>
    <row r="655" ht="15.75" customHeight="1">
      <c r="A655" s="10">
        <v>654.0</v>
      </c>
      <c r="B655" s="3" t="s">
        <v>1990</v>
      </c>
      <c r="C655" s="3" t="s">
        <v>1991</v>
      </c>
      <c r="D655" s="3" t="s">
        <v>1992</v>
      </c>
      <c r="E655" s="10">
        <v>5.70056000273E11</v>
      </c>
      <c r="F655" s="3" t="s">
        <v>1993</v>
      </c>
      <c r="G655" s="3" t="s">
        <v>12</v>
      </c>
      <c r="H655" s="12" t="s">
        <v>1994</v>
      </c>
      <c r="I655" s="3"/>
      <c r="J655" s="3"/>
      <c r="K655" s="3"/>
      <c r="L655" s="3"/>
      <c r="M655" s="3"/>
      <c r="N655" s="3"/>
      <c r="O655" s="3"/>
      <c r="P655" s="3"/>
      <c r="Q655" s="3"/>
    </row>
    <row r="656" ht="15.75" customHeight="1">
      <c r="A656" s="10">
        <v>655.0</v>
      </c>
      <c r="B656" s="3" t="s">
        <v>51</v>
      </c>
      <c r="C656" s="3" t="s">
        <v>1304</v>
      </c>
      <c r="D656" s="3" t="s">
        <v>1995</v>
      </c>
      <c r="E656" s="10">
        <v>5.70056000277E11</v>
      </c>
      <c r="F656" s="3" t="s">
        <v>1996</v>
      </c>
      <c r="G656" s="3" t="s">
        <v>12</v>
      </c>
      <c r="H656" s="12" t="s">
        <v>13</v>
      </c>
      <c r="I656" s="3"/>
      <c r="J656" s="3"/>
      <c r="K656" s="3"/>
      <c r="L656" s="3"/>
      <c r="M656" s="3"/>
      <c r="N656" s="3"/>
      <c r="O656" s="3"/>
      <c r="P656" s="3"/>
      <c r="Q656" s="3"/>
    </row>
    <row r="657" ht="15.75" customHeight="1">
      <c r="A657" s="10">
        <v>656.0</v>
      </c>
      <c r="B657" s="3" t="s">
        <v>1928</v>
      </c>
      <c r="C657" s="3" t="s">
        <v>1997</v>
      </c>
      <c r="D657" s="3" t="s">
        <v>1998</v>
      </c>
      <c r="E657" s="10">
        <v>5.70056000279E11</v>
      </c>
      <c r="F657" s="3" t="s">
        <v>1999</v>
      </c>
      <c r="G657" s="3" t="s">
        <v>50</v>
      </c>
      <c r="H657" s="12" t="s">
        <v>2000</v>
      </c>
      <c r="I657" s="3"/>
      <c r="J657" s="3"/>
      <c r="K657" s="3"/>
      <c r="L657" s="3"/>
      <c r="M657" s="3"/>
      <c r="N657" s="3"/>
      <c r="O657" s="3"/>
      <c r="P657" s="3"/>
      <c r="Q657" s="3"/>
    </row>
    <row r="658" ht="15.75" customHeight="1">
      <c r="A658" s="10">
        <v>657.0</v>
      </c>
      <c r="B658" s="3" t="s">
        <v>2001</v>
      </c>
      <c r="C658" s="3" t="s">
        <v>1279</v>
      </c>
      <c r="D658" s="3" t="s">
        <v>2002</v>
      </c>
      <c r="E658" s="10">
        <v>5.7005600028E11</v>
      </c>
      <c r="F658" s="3" t="s">
        <v>2003</v>
      </c>
      <c r="G658" s="3" t="s">
        <v>37</v>
      </c>
      <c r="H658" s="12" t="s">
        <v>1984</v>
      </c>
      <c r="I658" s="3"/>
      <c r="J658" s="3"/>
      <c r="K658" s="3"/>
      <c r="L658" s="3"/>
      <c r="M658" s="3"/>
      <c r="N658" s="3"/>
      <c r="O658" s="3"/>
      <c r="P658" s="3"/>
      <c r="Q658" s="3"/>
    </row>
    <row r="659" ht="15.75" customHeight="1">
      <c r="A659" s="10">
        <v>658.0</v>
      </c>
      <c r="B659" s="3" t="s">
        <v>2004</v>
      </c>
      <c r="C659" s="3" t="s">
        <v>2005</v>
      </c>
      <c r="D659" s="3" t="s">
        <v>146</v>
      </c>
      <c r="E659" s="10">
        <v>5.70056000282E11</v>
      </c>
      <c r="F659" s="3" t="s">
        <v>2006</v>
      </c>
      <c r="G659" s="3" t="s">
        <v>12</v>
      </c>
      <c r="H659" s="12" t="s">
        <v>13</v>
      </c>
      <c r="I659" s="3"/>
      <c r="J659" s="3"/>
      <c r="K659" s="3"/>
      <c r="L659" s="3"/>
      <c r="M659" s="3"/>
      <c r="N659" s="3"/>
      <c r="O659" s="3"/>
      <c r="P659" s="3"/>
      <c r="Q659" s="3"/>
    </row>
    <row r="660" ht="15.75" customHeight="1">
      <c r="A660" s="10">
        <v>659.0</v>
      </c>
      <c r="B660" s="3" t="s">
        <v>1170</v>
      </c>
      <c r="C660" s="3" t="s">
        <v>92</v>
      </c>
      <c r="D660" s="3" t="s">
        <v>2007</v>
      </c>
      <c r="E660" s="10">
        <v>5.70056000283E11</v>
      </c>
      <c r="F660" s="3" t="s">
        <v>2008</v>
      </c>
      <c r="G660" s="3" t="s">
        <v>50</v>
      </c>
      <c r="H660" s="12" t="s">
        <v>13</v>
      </c>
      <c r="I660" s="3"/>
      <c r="J660" s="3"/>
      <c r="K660" s="3"/>
      <c r="L660" s="3"/>
      <c r="M660" s="3"/>
      <c r="N660" s="3"/>
      <c r="O660" s="3"/>
      <c r="P660" s="3"/>
      <c r="Q660" s="3"/>
    </row>
    <row r="661" ht="15.75" customHeight="1">
      <c r="A661" s="10">
        <v>660.0</v>
      </c>
      <c r="B661" s="3" t="s">
        <v>201</v>
      </c>
      <c r="C661" s="3" t="s">
        <v>1087</v>
      </c>
      <c r="D661" s="3" t="s">
        <v>362</v>
      </c>
      <c r="E661" s="10">
        <v>5.70056000285E11</v>
      </c>
      <c r="F661" s="3" t="s">
        <v>900</v>
      </c>
      <c r="G661" s="3" t="s">
        <v>12</v>
      </c>
      <c r="H661" s="12" t="s">
        <v>13</v>
      </c>
      <c r="I661" s="3"/>
      <c r="J661" s="3"/>
      <c r="K661" s="3"/>
      <c r="L661" s="3"/>
      <c r="M661" s="3"/>
      <c r="N661" s="3"/>
      <c r="O661" s="3"/>
      <c r="P661" s="3"/>
      <c r="Q661" s="3"/>
    </row>
    <row r="662" ht="15.75" customHeight="1">
      <c r="A662" s="10">
        <v>661.0</v>
      </c>
      <c r="B662" s="3" t="s">
        <v>2009</v>
      </c>
      <c r="C662" s="3" t="s">
        <v>471</v>
      </c>
      <c r="D662" s="3" t="s">
        <v>2010</v>
      </c>
      <c r="E662" s="10">
        <v>5.70056000286E11</v>
      </c>
      <c r="F662" s="3" t="s">
        <v>2011</v>
      </c>
      <c r="G662" s="3" t="s">
        <v>50</v>
      </c>
      <c r="H662" s="12" t="s">
        <v>1964</v>
      </c>
      <c r="I662" s="3"/>
      <c r="J662" s="3"/>
      <c r="K662" s="3"/>
      <c r="L662" s="3"/>
      <c r="M662" s="3"/>
      <c r="N662" s="3"/>
      <c r="O662" s="3"/>
      <c r="P662" s="3"/>
      <c r="Q662" s="3"/>
    </row>
    <row r="663" ht="15.75" customHeight="1">
      <c r="A663" s="10">
        <v>662.0</v>
      </c>
      <c r="B663" s="3" t="s">
        <v>2012</v>
      </c>
      <c r="C663" s="3" t="s">
        <v>471</v>
      </c>
      <c r="D663" s="3" t="s">
        <v>2010</v>
      </c>
      <c r="E663" s="10">
        <v>5.70056000287E11</v>
      </c>
      <c r="F663" s="3" t="s">
        <v>2013</v>
      </c>
      <c r="G663" s="3" t="s">
        <v>12</v>
      </c>
      <c r="H663" s="12" t="s">
        <v>1964</v>
      </c>
      <c r="I663" s="3"/>
      <c r="J663" s="3"/>
      <c r="K663" s="3"/>
      <c r="L663" s="3"/>
      <c r="M663" s="3"/>
      <c r="N663" s="3"/>
      <c r="O663" s="3"/>
      <c r="P663" s="3"/>
      <c r="Q663" s="3"/>
    </row>
    <row r="664" ht="15.75" customHeight="1">
      <c r="A664" s="10">
        <v>663.0</v>
      </c>
      <c r="B664" s="3" t="s">
        <v>2014</v>
      </c>
      <c r="C664" s="3" t="s">
        <v>201</v>
      </c>
      <c r="D664" s="3" t="s">
        <v>466</v>
      </c>
      <c r="E664" s="10">
        <v>5.70056000289E11</v>
      </c>
      <c r="F664" s="3" t="s">
        <v>2015</v>
      </c>
      <c r="G664" s="3" t="s">
        <v>50</v>
      </c>
      <c r="H664" s="12" t="s">
        <v>1964</v>
      </c>
      <c r="I664" s="3"/>
      <c r="J664" s="3"/>
      <c r="K664" s="3"/>
      <c r="L664" s="3"/>
      <c r="M664" s="3"/>
      <c r="N664" s="3"/>
      <c r="O664" s="3"/>
      <c r="P664" s="3"/>
      <c r="Q664" s="3"/>
    </row>
    <row r="665" ht="15.75" customHeight="1">
      <c r="A665" s="10">
        <v>664.0</v>
      </c>
      <c r="B665" s="3" t="s">
        <v>2016</v>
      </c>
      <c r="C665" s="3" t="s">
        <v>441</v>
      </c>
      <c r="D665" s="3" t="s">
        <v>2017</v>
      </c>
      <c r="E665" s="10">
        <v>5.70056000295E11</v>
      </c>
      <c r="F665" s="3" t="s">
        <v>2018</v>
      </c>
      <c r="G665" s="3" t="s">
        <v>1963</v>
      </c>
      <c r="H665" s="12" t="s">
        <v>1984</v>
      </c>
      <c r="I665" s="3"/>
      <c r="J665" s="3"/>
      <c r="K665" s="3"/>
      <c r="L665" s="3"/>
      <c r="M665" s="3"/>
      <c r="N665" s="3"/>
      <c r="O665" s="3"/>
      <c r="P665" s="3"/>
      <c r="Q665" s="3"/>
    </row>
    <row r="666" ht="15.75" customHeight="1">
      <c r="A666" s="10">
        <v>665.0</v>
      </c>
      <c r="B666" s="3" t="s">
        <v>173</v>
      </c>
      <c r="C666" s="3" t="s">
        <v>2019</v>
      </c>
      <c r="D666" s="3" t="s">
        <v>504</v>
      </c>
      <c r="E666" s="10">
        <v>5.70056000298E11</v>
      </c>
      <c r="F666" s="3" t="s">
        <v>2020</v>
      </c>
      <c r="G666" s="3" t="s">
        <v>197</v>
      </c>
      <c r="H666" s="12" t="s">
        <v>1964</v>
      </c>
      <c r="I666" s="3"/>
      <c r="J666" s="3"/>
      <c r="K666" s="3"/>
      <c r="L666" s="3"/>
      <c r="M666" s="3"/>
      <c r="N666" s="3"/>
      <c r="O666" s="3"/>
      <c r="P666" s="3"/>
      <c r="Q666" s="3"/>
    </row>
    <row r="667" ht="15.75" customHeight="1">
      <c r="A667" s="10">
        <v>666.0</v>
      </c>
      <c r="B667" s="3" t="s">
        <v>2021</v>
      </c>
      <c r="C667" s="3" t="s">
        <v>2022</v>
      </c>
      <c r="D667" s="3" t="s">
        <v>2023</v>
      </c>
      <c r="E667" s="10">
        <v>5.70056000299E11</v>
      </c>
      <c r="F667" s="3" t="s">
        <v>2024</v>
      </c>
      <c r="G667" s="3" t="s">
        <v>62</v>
      </c>
      <c r="H667" s="12" t="s">
        <v>2025</v>
      </c>
      <c r="I667" s="3"/>
      <c r="J667" s="3"/>
      <c r="K667" s="3"/>
      <c r="L667" s="3"/>
      <c r="M667" s="3"/>
      <c r="N667" s="3"/>
      <c r="O667" s="3"/>
      <c r="P667" s="3"/>
      <c r="Q667" s="3"/>
    </row>
    <row r="668" ht="15.75" customHeight="1">
      <c r="A668" s="10">
        <v>667.0</v>
      </c>
      <c r="B668" s="3" t="s">
        <v>2026</v>
      </c>
      <c r="C668" s="3" t="s">
        <v>2027</v>
      </c>
      <c r="D668" s="3" t="s">
        <v>2028</v>
      </c>
      <c r="E668" s="10">
        <v>5.700560003E11</v>
      </c>
      <c r="F668" s="3" t="s">
        <v>2029</v>
      </c>
      <c r="G668" s="3" t="s">
        <v>50</v>
      </c>
      <c r="H668" s="12" t="s">
        <v>2030</v>
      </c>
      <c r="I668" s="3"/>
      <c r="J668" s="3"/>
      <c r="K668" s="3"/>
      <c r="L668" s="3"/>
      <c r="M668" s="3"/>
      <c r="N668" s="3"/>
      <c r="O668" s="3"/>
      <c r="P668" s="3"/>
      <c r="Q668" s="3"/>
    </row>
    <row r="669" ht="15.75" customHeight="1">
      <c r="A669" s="10">
        <v>668.0</v>
      </c>
      <c r="B669" s="3" t="s">
        <v>158</v>
      </c>
      <c r="C669" s="3" t="s">
        <v>1131</v>
      </c>
      <c r="D669" s="3" t="s">
        <v>1014</v>
      </c>
      <c r="E669" s="10">
        <v>5.70056000301E11</v>
      </c>
      <c r="F669" s="3" t="s">
        <v>2031</v>
      </c>
      <c r="G669" s="3" t="s">
        <v>50</v>
      </c>
      <c r="H669" s="12" t="s">
        <v>1964</v>
      </c>
      <c r="I669" s="3"/>
      <c r="J669" s="3"/>
      <c r="K669" s="3"/>
      <c r="L669" s="3"/>
      <c r="M669" s="3"/>
      <c r="N669" s="3"/>
      <c r="O669" s="3"/>
      <c r="P669" s="3"/>
      <c r="Q669" s="3"/>
    </row>
    <row r="670" ht="15.75" customHeight="1">
      <c r="A670" s="10">
        <v>669.0</v>
      </c>
      <c r="B670" s="3" t="s">
        <v>2032</v>
      </c>
      <c r="C670" s="3" t="s">
        <v>521</v>
      </c>
      <c r="D670" s="3" t="s">
        <v>2033</v>
      </c>
      <c r="E670" s="10">
        <v>5.70056000302E11</v>
      </c>
      <c r="F670" s="3" t="s">
        <v>2034</v>
      </c>
      <c r="G670" s="3" t="s">
        <v>50</v>
      </c>
      <c r="H670" s="12" t="s">
        <v>2030</v>
      </c>
      <c r="I670" s="3"/>
      <c r="J670" s="3"/>
      <c r="K670" s="3"/>
      <c r="L670" s="3"/>
      <c r="M670" s="3"/>
      <c r="N670" s="3"/>
      <c r="O670" s="3"/>
      <c r="P670" s="3"/>
      <c r="Q670" s="3"/>
    </row>
    <row r="671" ht="15.75" customHeight="1">
      <c r="A671" s="10">
        <v>670.0</v>
      </c>
      <c r="B671" s="3" t="s">
        <v>2035</v>
      </c>
      <c r="C671" s="3" t="s">
        <v>356</v>
      </c>
      <c r="D671" s="3" t="s">
        <v>152</v>
      </c>
      <c r="E671" s="10">
        <v>5.70056000304E11</v>
      </c>
      <c r="F671" s="3" t="s">
        <v>1967</v>
      </c>
      <c r="G671" s="3" t="s">
        <v>12</v>
      </c>
      <c r="H671" s="12" t="s">
        <v>2036</v>
      </c>
      <c r="I671" s="3"/>
      <c r="J671" s="3"/>
      <c r="K671" s="3"/>
      <c r="L671" s="3"/>
      <c r="M671" s="3"/>
      <c r="N671" s="3"/>
      <c r="O671" s="3"/>
      <c r="P671" s="3"/>
      <c r="Q671" s="3"/>
    </row>
    <row r="672" ht="15.75" customHeight="1">
      <c r="A672" s="10">
        <v>671.0</v>
      </c>
      <c r="B672" s="3" t="s">
        <v>2037</v>
      </c>
      <c r="C672" s="3" t="s">
        <v>2038</v>
      </c>
      <c r="D672" s="3" t="s">
        <v>2039</v>
      </c>
      <c r="E672" s="10">
        <v>5.70056000306E11</v>
      </c>
      <c r="F672" s="3" t="s">
        <v>1816</v>
      </c>
      <c r="G672" s="3" t="s">
        <v>12</v>
      </c>
      <c r="H672" s="12" t="s">
        <v>1984</v>
      </c>
      <c r="I672" s="3"/>
      <c r="J672" s="3"/>
      <c r="K672" s="3"/>
      <c r="L672" s="3"/>
      <c r="M672" s="3"/>
      <c r="N672" s="3"/>
      <c r="O672" s="3"/>
      <c r="P672" s="3"/>
      <c r="Q672" s="3"/>
    </row>
    <row r="673" ht="15.75" customHeight="1">
      <c r="A673" s="10">
        <v>672.0</v>
      </c>
      <c r="B673" s="3" t="s">
        <v>2040</v>
      </c>
      <c r="C673" s="3" t="s">
        <v>1368</v>
      </c>
      <c r="D673" s="3" t="s">
        <v>692</v>
      </c>
      <c r="E673" s="10">
        <v>5.70056000308E11</v>
      </c>
      <c r="F673" s="3" t="s">
        <v>2041</v>
      </c>
      <c r="G673" s="3" t="s">
        <v>197</v>
      </c>
      <c r="H673" s="12" t="s">
        <v>1964</v>
      </c>
      <c r="I673" s="3"/>
      <c r="J673" s="3"/>
      <c r="K673" s="3"/>
      <c r="L673" s="3"/>
      <c r="M673" s="3"/>
      <c r="N673" s="3"/>
      <c r="O673" s="3"/>
      <c r="P673" s="3"/>
      <c r="Q673" s="3"/>
    </row>
    <row r="674" ht="15.75" customHeight="1">
      <c r="A674" s="10">
        <v>673.0</v>
      </c>
      <c r="B674" s="3" t="s">
        <v>2042</v>
      </c>
      <c r="C674" s="3" t="s">
        <v>136</v>
      </c>
      <c r="D674" s="3" t="s">
        <v>2043</v>
      </c>
      <c r="E674" s="10">
        <v>5.70056000311E11</v>
      </c>
      <c r="F674" s="3" t="s">
        <v>2044</v>
      </c>
      <c r="G674" s="3" t="s">
        <v>50</v>
      </c>
      <c r="H674" s="12" t="s">
        <v>13</v>
      </c>
      <c r="I674" s="3"/>
      <c r="J674" s="3"/>
      <c r="K674" s="3"/>
      <c r="L674" s="3"/>
      <c r="M674" s="3"/>
      <c r="N674" s="3"/>
      <c r="O674" s="3"/>
      <c r="P674" s="3"/>
      <c r="Q674" s="3"/>
    </row>
    <row r="675" ht="15.75" customHeight="1">
      <c r="A675" s="10">
        <v>674.0</v>
      </c>
      <c r="B675" s="3" t="s">
        <v>2045</v>
      </c>
      <c r="C675" s="3" t="s">
        <v>304</v>
      </c>
      <c r="D675" s="3" t="s">
        <v>2046</v>
      </c>
      <c r="E675" s="10">
        <v>5.70056000312E11</v>
      </c>
      <c r="F675" s="3" t="s">
        <v>2047</v>
      </c>
      <c r="G675" s="3" t="s">
        <v>50</v>
      </c>
      <c r="H675" s="12" t="s">
        <v>13</v>
      </c>
      <c r="I675" s="3"/>
      <c r="J675" s="3"/>
      <c r="K675" s="3"/>
      <c r="L675" s="3"/>
      <c r="M675" s="3"/>
      <c r="N675" s="3"/>
      <c r="O675" s="3"/>
      <c r="P675" s="3"/>
      <c r="Q675" s="3"/>
    </row>
    <row r="676" ht="15.75" customHeight="1">
      <c r="A676" s="10">
        <v>675.0</v>
      </c>
      <c r="B676" s="3" t="s">
        <v>2048</v>
      </c>
      <c r="C676" s="3" t="s">
        <v>599</v>
      </c>
      <c r="D676" s="3" t="s">
        <v>2049</v>
      </c>
      <c r="E676" s="10">
        <v>5.70056000313E11</v>
      </c>
      <c r="F676" s="3" t="s">
        <v>2050</v>
      </c>
      <c r="G676" s="3" t="s">
        <v>50</v>
      </c>
      <c r="H676" s="12" t="s">
        <v>13</v>
      </c>
      <c r="I676" s="3"/>
      <c r="J676" s="3"/>
      <c r="K676" s="3"/>
      <c r="L676" s="3"/>
      <c r="M676" s="3"/>
      <c r="N676" s="3"/>
      <c r="O676" s="3"/>
      <c r="P676" s="3"/>
      <c r="Q676" s="3"/>
    </row>
    <row r="677" ht="15.75" customHeight="1">
      <c r="A677" s="10">
        <v>676.0</v>
      </c>
      <c r="B677" s="3" t="s">
        <v>2051</v>
      </c>
      <c r="C677" s="3" t="s">
        <v>2052</v>
      </c>
      <c r="D677" s="3" t="s">
        <v>2053</v>
      </c>
      <c r="E677" s="10">
        <v>5.70056000314E11</v>
      </c>
      <c r="F677" s="3" t="s">
        <v>2054</v>
      </c>
      <c r="G677" s="3" t="s">
        <v>50</v>
      </c>
      <c r="H677" s="12" t="s">
        <v>13</v>
      </c>
      <c r="I677" s="3"/>
      <c r="J677" s="3"/>
      <c r="K677" s="3"/>
      <c r="L677" s="3"/>
      <c r="M677" s="3"/>
      <c r="N677" s="3"/>
      <c r="O677" s="3"/>
      <c r="P677" s="3"/>
      <c r="Q677" s="3"/>
    </row>
    <row r="678" ht="15.75" customHeight="1">
      <c r="A678" s="10">
        <v>677.0</v>
      </c>
      <c r="B678" s="3" t="s">
        <v>2055</v>
      </c>
      <c r="C678" s="3" t="s">
        <v>2056</v>
      </c>
      <c r="D678" s="3" t="s">
        <v>2057</v>
      </c>
      <c r="E678" s="10">
        <v>5.70056000316E11</v>
      </c>
      <c r="F678" s="3" t="s">
        <v>2058</v>
      </c>
      <c r="G678" s="3" t="s">
        <v>50</v>
      </c>
      <c r="H678" s="12" t="s">
        <v>13</v>
      </c>
      <c r="I678" s="3"/>
      <c r="J678" s="3"/>
      <c r="K678" s="3"/>
      <c r="L678" s="3"/>
      <c r="M678" s="3"/>
      <c r="N678" s="3"/>
      <c r="O678" s="3"/>
      <c r="P678" s="3"/>
      <c r="Q678" s="3"/>
    </row>
    <row r="679" ht="15.75" customHeight="1">
      <c r="A679" s="10">
        <v>678.0</v>
      </c>
      <c r="B679" s="3" t="s">
        <v>2059</v>
      </c>
      <c r="C679" s="3" t="s">
        <v>406</v>
      </c>
      <c r="D679" s="3" t="s">
        <v>2060</v>
      </c>
      <c r="E679" s="10">
        <v>5.70056000317E11</v>
      </c>
      <c r="F679" s="3" t="s">
        <v>854</v>
      </c>
      <c r="G679" s="3" t="s">
        <v>37</v>
      </c>
      <c r="H679" s="12" t="s">
        <v>13</v>
      </c>
      <c r="I679" s="3"/>
      <c r="J679" s="3"/>
      <c r="K679" s="3"/>
      <c r="L679" s="3"/>
      <c r="M679" s="3"/>
      <c r="N679" s="3"/>
      <c r="O679" s="3"/>
      <c r="P679" s="3"/>
      <c r="Q679" s="3"/>
    </row>
    <row r="680" ht="15.75" customHeight="1">
      <c r="A680" s="10">
        <v>679.0</v>
      </c>
      <c r="B680" s="3" t="s">
        <v>2061</v>
      </c>
      <c r="C680" s="3" t="s">
        <v>406</v>
      </c>
      <c r="D680" s="3" t="s">
        <v>2060</v>
      </c>
      <c r="E680" s="10">
        <v>5.70056000321E11</v>
      </c>
      <c r="F680" s="3" t="s">
        <v>2062</v>
      </c>
      <c r="G680" s="3" t="s">
        <v>50</v>
      </c>
      <c r="H680" s="12" t="s">
        <v>13</v>
      </c>
      <c r="I680" s="3"/>
      <c r="J680" s="3"/>
      <c r="K680" s="3"/>
      <c r="L680" s="3"/>
      <c r="M680" s="3"/>
      <c r="N680" s="3"/>
      <c r="O680" s="3"/>
      <c r="P680" s="3"/>
      <c r="Q680" s="3"/>
    </row>
    <row r="681" ht="15.75" customHeight="1">
      <c r="A681" s="10">
        <v>680.0</v>
      </c>
      <c r="B681" s="3" t="s">
        <v>2063</v>
      </c>
      <c r="C681" s="3" t="s">
        <v>2064</v>
      </c>
      <c r="D681" s="3" t="s">
        <v>2010</v>
      </c>
      <c r="E681" s="10">
        <v>5.70056000323E11</v>
      </c>
      <c r="F681" s="3" t="s">
        <v>2065</v>
      </c>
      <c r="G681" s="3" t="s">
        <v>50</v>
      </c>
      <c r="H681" s="12" t="s">
        <v>13</v>
      </c>
      <c r="I681" s="3"/>
      <c r="J681" s="3"/>
      <c r="K681" s="3"/>
      <c r="L681" s="3"/>
      <c r="M681" s="3"/>
      <c r="N681" s="3"/>
      <c r="O681" s="3"/>
      <c r="P681" s="3"/>
      <c r="Q681" s="3"/>
    </row>
    <row r="682" ht="15.75" customHeight="1">
      <c r="A682" s="10">
        <v>681.0</v>
      </c>
      <c r="B682" s="3" t="s">
        <v>2066</v>
      </c>
      <c r="C682" s="3" t="s">
        <v>2067</v>
      </c>
      <c r="D682" s="3" t="s">
        <v>2068</v>
      </c>
      <c r="E682" s="10">
        <v>5.70056000324E11</v>
      </c>
      <c r="F682" s="3" t="s">
        <v>2069</v>
      </c>
      <c r="G682" s="3" t="s">
        <v>37</v>
      </c>
      <c r="H682" s="12" t="s">
        <v>13</v>
      </c>
      <c r="I682" s="3"/>
      <c r="J682" s="3"/>
      <c r="K682" s="3"/>
      <c r="L682" s="3"/>
      <c r="M682" s="3"/>
      <c r="N682" s="3"/>
      <c r="O682" s="3"/>
      <c r="P682" s="3"/>
      <c r="Q682" s="3"/>
    </row>
    <row r="683" ht="15.75" customHeight="1">
      <c r="A683" s="10">
        <v>682.0</v>
      </c>
      <c r="B683" s="3" t="s">
        <v>2070</v>
      </c>
      <c r="C683" s="3" t="s">
        <v>331</v>
      </c>
      <c r="D683" s="3" t="s">
        <v>1998</v>
      </c>
      <c r="E683" s="10">
        <v>5.70056000325E11</v>
      </c>
      <c r="F683" s="3" t="s">
        <v>2071</v>
      </c>
      <c r="G683" s="3" t="s">
        <v>12</v>
      </c>
      <c r="H683" s="12" t="s">
        <v>13</v>
      </c>
      <c r="I683" s="3"/>
      <c r="J683" s="3"/>
      <c r="K683" s="3"/>
      <c r="L683" s="3"/>
      <c r="M683" s="3"/>
      <c r="N683" s="3"/>
      <c r="O683" s="3"/>
      <c r="P683" s="3"/>
      <c r="Q683" s="3"/>
    </row>
    <row r="684" ht="15.75" customHeight="1">
      <c r="A684" s="10">
        <v>683.0</v>
      </c>
      <c r="B684" s="3" t="s">
        <v>2072</v>
      </c>
      <c r="C684" s="3" t="s">
        <v>2073</v>
      </c>
      <c r="D684" s="3" t="s">
        <v>2074</v>
      </c>
      <c r="E684" s="10">
        <v>5.70056000326E11</v>
      </c>
      <c r="F684" s="3" t="s">
        <v>2075</v>
      </c>
      <c r="G684" s="3" t="s">
        <v>50</v>
      </c>
      <c r="H684" s="12" t="s">
        <v>13</v>
      </c>
      <c r="I684" s="3"/>
      <c r="J684" s="3"/>
      <c r="K684" s="3"/>
      <c r="L684" s="3"/>
      <c r="M684" s="3"/>
      <c r="N684" s="3"/>
      <c r="O684" s="3"/>
      <c r="P684" s="3"/>
      <c r="Q684" s="3"/>
    </row>
    <row r="685" ht="15.75" customHeight="1">
      <c r="A685" s="10">
        <v>684.0</v>
      </c>
      <c r="B685" s="3" t="s">
        <v>2076</v>
      </c>
      <c r="C685" s="3" t="s">
        <v>33</v>
      </c>
      <c r="D685" s="3" t="s">
        <v>1828</v>
      </c>
      <c r="E685" s="10">
        <v>5.70056000328E11</v>
      </c>
      <c r="F685" s="3" t="s">
        <v>2077</v>
      </c>
      <c r="G685" s="3" t="s">
        <v>1814</v>
      </c>
      <c r="H685" s="12" t="s">
        <v>13</v>
      </c>
      <c r="I685" s="3"/>
      <c r="J685" s="3"/>
      <c r="K685" s="3"/>
      <c r="L685" s="3"/>
      <c r="M685" s="3"/>
      <c r="N685" s="3"/>
      <c r="O685" s="3"/>
      <c r="P685" s="3"/>
      <c r="Q685" s="3"/>
    </row>
    <row r="686" ht="15.75" customHeight="1">
      <c r="A686" s="10">
        <v>685.0</v>
      </c>
      <c r="B686" s="3" t="s">
        <v>533</v>
      </c>
      <c r="C686" s="3" t="s">
        <v>469</v>
      </c>
      <c r="D686" s="3" t="s">
        <v>1370</v>
      </c>
      <c r="E686" s="10">
        <v>5.70056000329E11</v>
      </c>
      <c r="F686" s="3" t="s">
        <v>2078</v>
      </c>
      <c r="G686" s="3" t="s">
        <v>1814</v>
      </c>
      <c r="H686" s="12" t="s">
        <v>13</v>
      </c>
      <c r="I686" s="3"/>
      <c r="J686" s="3"/>
      <c r="K686" s="3"/>
      <c r="L686" s="3"/>
      <c r="M686" s="3"/>
      <c r="N686" s="3"/>
      <c r="O686" s="3"/>
      <c r="P686" s="3"/>
      <c r="Q686" s="3"/>
    </row>
    <row r="687" ht="15.75" customHeight="1">
      <c r="A687" s="10">
        <v>686.0</v>
      </c>
      <c r="B687" s="3" t="s">
        <v>2079</v>
      </c>
      <c r="C687" s="3" t="s">
        <v>285</v>
      </c>
      <c r="D687" s="3" t="s">
        <v>2080</v>
      </c>
      <c r="E687" s="10">
        <v>5.7005600033E11</v>
      </c>
      <c r="F687" s="3" t="s">
        <v>2081</v>
      </c>
      <c r="G687" s="3" t="s">
        <v>1814</v>
      </c>
      <c r="H687" s="12" t="s">
        <v>28</v>
      </c>
      <c r="I687" s="3"/>
      <c r="J687" s="3"/>
      <c r="K687" s="3"/>
      <c r="L687" s="3"/>
      <c r="M687" s="3"/>
      <c r="N687" s="3"/>
      <c r="O687" s="3"/>
      <c r="P687" s="3"/>
      <c r="Q687" s="3"/>
    </row>
    <row r="688" ht="15.75" customHeight="1">
      <c r="A688" s="10">
        <v>687.0</v>
      </c>
      <c r="B688" s="3" t="s">
        <v>2082</v>
      </c>
      <c r="C688" s="3" t="s">
        <v>2083</v>
      </c>
      <c r="D688" s="3" t="s">
        <v>2084</v>
      </c>
      <c r="E688" s="10">
        <v>5.70056000331E11</v>
      </c>
      <c r="F688" s="3" t="s">
        <v>2085</v>
      </c>
      <c r="G688" s="3" t="s">
        <v>12</v>
      </c>
      <c r="H688" s="12" t="s">
        <v>13</v>
      </c>
      <c r="I688" s="3"/>
      <c r="J688" s="3"/>
      <c r="K688" s="3"/>
      <c r="L688" s="3"/>
      <c r="M688" s="3"/>
      <c r="N688" s="3"/>
      <c r="O688" s="3"/>
      <c r="P688" s="3"/>
      <c r="Q688" s="3"/>
    </row>
    <row r="689" ht="15.75" customHeight="1">
      <c r="A689" s="10">
        <v>688.0</v>
      </c>
      <c r="B689" s="3" t="s">
        <v>2086</v>
      </c>
      <c r="C689" s="3" t="s">
        <v>2087</v>
      </c>
      <c r="D689" s="3" t="s">
        <v>280</v>
      </c>
      <c r="E689" s="10">
        <v>5.70056000332E11</v>
      </c>
      <c r="F689" s="3" t="s">
        <v>2088</v>
      </c>
      <c r="G689" s="3" t="s">
        <v>50</v>
      </c>
      <c r="H689" s="12" t="s">
        <v>13</v>
      </c>
      <c r="I689" s="3"/>
      <c r="J689" s="3"/>
      <c r="K689" s="3"/>
      <c r="L689" s="3"/>
      <c r="M689" s="3"/>
      <c r="N689" s="3"/>
      <c r="O689" s="3"/>
      <c r="P689" s="3"/>
      <c r="Q689" s="3"/>
    </row>
    <row r="690" ht="15.75" customHeight="1">
      <c r="A690" s="10">
        <v>689.0</v>
      </c>
      <c r="B690" s="3" t="s">
        <v>2089</v>
      </c>
      <c r="C690" s="3" t="s">
        <v>2090</v>
      </c>
      <c r="D690" s="3" t="s">
        <v>1293</v>
      </c>
      <c r="E690" s="10">
        <v>5.70056000294E11</v>
      </c>
      <c r="F690" s="3" t="s">
        <v>2091</v>
      </c>
      <c r="G690" s="3" t="s">
        <v>50</v>
      </c>
      <c r="H690" s="12" t="s">
        <v>1964</v>
      </c>
      <c r="I690" s="3"/>
      <c r="J690" s="3"/>
      <c r="K690" s="3"/>
      <c r="L690" s="3"/>
      <c r="M690" s="3"/>
      <c r="N690" s="3"/>
      <c r="O690" s="3"/>
      <c r="P690" s="3"/>
      <c r="Q690" s="3"/>
    </row>
    <row r="691" ht="15.75" customHeight="1">
      <c r="A691" s="10">
        <v>690.0</v>
      </c>
      <c r="B691" s="3" t="s">
        <v>2092</v>
      </c>
      <c r="C691" s="3" t="s">
        <v>202</v>
      </c>
      <c r="D691" s="3" t="s">
        <v>171</v>
      </c>
      <c r="E691" s="10">
        <v>5.70056000335E11</v>
      </c>
      <c r="F691" s="3" t="s">
        <v>2093</v>
      </c>
      <c r="G691" s="3" t="s">
        <v>27</v>
      </c>
      <c r="H691" s="12" t="s">
        <v>2094</v>
      </c>
      <c r="I691" s="3"/>
      <c r="J691" s="3"/>
      <c r="K691" s="3"/>
      <c r="L691" s="3"/>
      <c r="M691" s="3"/>
      <c r="N691" s="3"/>
      <c r="O691" s="3"/>
      <c r="P691" s="3"/>
      <c r="Q691" s="3"/>
    </row>
    <row r="692" ht="15.75" customHeight="1">
      <c r="A692" s="10">
        <v>691.0</v>
      </c>
      <c r="B692" s="3" t="s">
        <v>2095</v>
      </c>
      <c r="C692" s="3" t="s">
        <v>669</v>
      </c>
      <c r="D692" s="3" t="s">
        <v>2096</v>
      </c>
      <c r="E692" s="10">
        <v>5.70056000337E11</v>
      </c>
      <c r="F692" s="3" t="s">
        <v>2097</v>
      </c>
      <c r="G692" s="3" t="s">
        <v>50</v>
      </c>
      <c r="H692" s="12" t="s">
        <v>2098</v>
      </c>
      <c r="I692" s="3"/>
      <c r="J692" s="3"/>
      <c r="K692" s="3"/>
      <c r="L692" s="3" t="s">
        <v>89</v>
      </c>
      <c r="M692" s="3"/>
      <c r="N692" s="3"/>
      <c r="O692" s="3"/>
      <c r="P692" s="3"/>
      <c r="Q692" s="3"/>
    </row>
    <row r="693" ht="15.75" customHeight="1">
      <c r="A693" s="10">
        <v>692.0</v>
      </c>
      <c r="B693" s="3" t="s">
        <v>2099</v>
      </c>
      <c r="C693" s="3" t="s">
        <v>471</v>
      </c>
      <c r="D693" s="3" t="s">
        <v>118</v>
      </c>
      <c r="E693" s="10">
        <v>5.7005600034E11</v>
      </c>
      <c r="F693" s="3" t="s">
        <v>2100</v>
      </c>
      <c r="G693" s="3" t="s">
        <v>12</v>
      </c>
      <c r="H693" s="12" t="s">
        <v>2101</v>
      </c>
      <c r="I693" s="3"/>
      <c r="J693" s="3"/>
      <c r="K693" s="3"/>
      <c r="L693" s="3"/>
      <c r="M693" s="3"/>
      <c r="N693" s="3"/>
      <c r="O693" s="3"/>
      <c r="P693" s="3"/>
      <c r="Q693" s="3"/>
    </row>
    <row r="694" ht="15.75" customHeight="1">
      <c r="A694" s="10">
        <v>693.0</v>
      </c>
      <c r="B694" s="3" t="s">
        <v>2102</v>
      </c>
      <c r="C694" s="3" t="s">
        <v>2103</v>
      </c>
      <c r="D694" s="3" t="s">
        <v>1427</v>
      </c>
      <c r="E694" s="10">
        <v>5.70056000341E11</v>
      </c>
      <c r="F694" s="3" t="s">
        <v>2104</v>
      </c>
      <c r="G694" s="3" t="s">
        <v>12</v>
      </c>
      <c r="H694" s="12" t="s">
        <v>2105</v>
      </c>
      <c r="I694" s="3"/>
      <c r="J694" s="3"/>
      <c r="K694" s="3"/>
      <c r="L694" s="3" t="s">
        <v>89</v>
      </c>
      <c r="M694" s="3"/>
      <c r="N694" s="3"/>
      <c r="O694" s="3"/>
      <c r="P694" s="3"/>
      <c r="Q694" s="3"/>
    </row>
    <row r="695" ht="15.75" customHeight="1">
      <c r="A695" s="10">
        <v>694.0</v>
      </c>
      <c r="B695" s="3" t="s">
        <v>2106</v>
      </c>
      <c r="C695" s="3" t="s">
        <v>2107</v>
      </c>
      <c r="D695" s="3" t="s">
        <v>1293</v>
      </c>
      <c r="E695" s="10">
        <v>5.70056000342E11</v>
      </c>
      <c r="F695" s="3" t="s">
        <v>2108</v>
      </c>
      <c r="G695" s="3" t="s">
        <v>12</v>
      </c>
      <c r="H695" s="12" t="s">
        <v>2109</v>
      </c>
      <c r="I695" s="3"/>
      <c r="J695" s="3"/>
      <c r="K695" s="3"/>
      <c r="L695" s="3"/>
      <c r="M695" s="3"/>
      <c r="N695" s="3"/>
      <c r="O695" s="3"/>
      <c r="P695" s="3"/>
      <c r="Q695" s="3"/>
    </row>
    <row r="696" ht="15.75" customHeight="1">
      <c r="A696" s="10">
        <v>695.0</v>
      </c>
      <c r="B696" s="3" t="s">
        <v>2110</v>
      </c>
      <c r="C696" s="3" t="s">
        <v>1373</v>
      </c>
      <c r="D696" s="3" t="s">
        <v>2033</v>
      </c>
      <c r="E696" s="10">
        <v>5.70056000343E11</v>
      </c>
      <c r="F696" s="3" t="s">
        <v>2111</v>
      </c>
      <c r="G696" s="3" t="s">
        <v>12</v>
      </c>
      <c r="H696" s="12" t="s">
        <v>2112</v>
      </c>
      <c r="I696" s="3"/>
      <c r="J696" s="3"/>
      <c r="K696" s="3"/>
      <c r="L696" s="3"/>
      <c r="M696" s="3"/>
      <c r="N696" s="3"/>
      <c r="O696" s="3"/>
      <c r="P696" s="3"/>
      <c r="Q696" s="3"/>
    </row>
    <row r="697" ht="15.75" customHeight="1">
      <c r="A697" s="10">
        <v>696.0</v>
      </c>
      <c r="B697" s="3" t="s">
        <v>2113</v>
      </c>
      <c r="C697" s="3" t="s">
        <v>223</v>
      </c>
      <c r="D697" s="3" t="s">
        <v>2114</v>
      </c>
      <c r="E697" s="10">
        <v>5.7005600035E11</v>
      </c>
      <c r="F697" s="3" t="s">
        <v>2115</v>
      </c>
      <c r="G697" s="3" t="s">
        <v>50</v>
      </c>
      <c r="H697" s="12" t="s">
        <v>2116</v>
      </c>
      <c r="I697" s="3"/>
      <c r="J697" s="3"/>
      <c r="K697" s="3"/>
      <c r="L697" s="3"/>
      <c r="M697" s="3"/>
      <c r="N697" s="3"/>
      <c r="O697" s="3"/>
      <c r="P697" s="3"/>
      <c r="Q697" s="3"/>
    </row>
    <row r="698" ht="15.75" customHeight="1">
      <c r="A698" s="10">
        <v>697.0</v>
      </c>
      <c r="B698" s="3" t="s">
        <v>2117</v>
      </c>
      <c r="C698" s="3" t="s">
        <v>2118</v>
      </c>
      <c r="D698" s="3" t="s">
        <v>2119</v>
      </c>
      <c r="E698" s="10">
        <v>5.70056000352E11</v>
      </c>
      <c r="F698" s="3" t="s">
        <v>2120</v>
      </c>
      <c r="G698" s="3" t="s">
        <v>12</v>
      </c>
      <c r="H698" s="12" t="s">
        <v>2121</v>
      </c>
      <c r="I698" s="3"/>
      <c r="J698" s="3"/>
      <c r="K698" s="3"/>
      <c r="L698" s="3"/>
      <c r="M698" s="3"/>
      <c r="N698" s="3"/>
      <c r="O698" s="3"/>
      <c r="P698" s="3"/>
      <c r="Q698" s="3"/>
    </row>
    <row r="699" ht="15.75" customHeight="1">
      <c r="A699" s="10">
        <v>698.0</v>
      </c>
      <c r="B699" s="3" t="s">
        <v>2122</v>
      </c>
      <c r="C699" s="3" t="s">
        <v>2123</v>
      </c>
      <c r="D699" s="3" t="s">
        <v>2124</v>
      </c>
      <c r="E699" s="10">
        <v>5.70056000353E11</v>
      </c>
      <c r="F699" s="3" t="s">
        <v>2125</v>
      </c>
      <c r="G699" s="3" t="s">
        <v>50</v>
      </c>
      <c r="H699" s="12" t="s">
        <v>2126</v>
      </c>
      <c r="I699" s="3"/>
      <c r="J699" s="3"/>
      <c r="K699" s="3"/>
      <c r="L699" s="3"/>
      <c r="M699" s="3"/>
      <c r="N699" s="3"/>
      <c r="O699" s="3"/>
      <c r="P699" s="3"/>
      <c r="Q699" s="3"/>
    </row>
    <row r="700" ht="15.75" customHeight="1">
      <c r="A700" s="10">
        <v>699.0</v>
      </c>
      <c r="B700" s="3" t="s">
        <v>2127</v>
      </c>
      <c r="C700" s="3" t="s">
        <v>2128</v>
      </c>
      <c r="D700" s="3" t="s">
        <v>2129</v>
      </c>
      <c r="E700" s="10">
        <v>5.7005600036E11</v>
      </c>
      <c r="F700" s="3" t="s">
        <v>2130</v>
      </c>
      <c r="G700" s="3" t="s">
        <v>50</v>
      </c>
      <c r="H700" s="12" t="s">
        <v>2101</v>
      </c>
      <c r="I700" s="3"/>
      <c r="J700" s="3"/>
      <c r="K700" s="3"/>
      <c r="L700" s="3"/>
      <c r="M700" s="3"/>
      <c r="N700" s="3"/>
      <c r="O700" s="3"/>
      <c r="P700" s="3"/>
      <c r="Q700" s="3"/>
    </row>
    <row r="701" ht="15.75" customHeight="1">
      <c r="A701" s="10">
        <v>700.0</v>
      </c>
      <c r="B701" s="3" t="s">
        <v>2131</v>
      </c>
      <c r="C701" s="3" t="s">
        <v>2132</v>
      </c>
      <c r="D701" s="3" t="s">
        <v>2133</v>
      </c>
      <c r="E701" s="10">
        <v>5.70056000361E11</v>
      </c>
      <c r="F701" s="3" t="s">
        <v>2134</v>
      </c>
      <c r="G701" s="3" t="s">
        <v>50</v>
      </c>
      <c r="H701" s="12" t="s">
        <v>2135</v>
      </c>
      <c r="I701" s="3"/>
      <c r="J701" s="3"/>
      <c r="K701" s="3"/>
      <c r="L701" s="3" t="s">
        <v>89</v>
      </c>
      <c r="M701" s="3"/>
      <c r="N701" s="3"/>
      <c r="O701" s="3"/>
      <c r="P701" s="3"/>
      <c r="Q701" s="3"/>
    </row>
    <row r="702" ht="15.75" customHeight="1">
      <c r="A702" s="10">
        <v>701.0</v>
      </c>
      <c r="B702" s="3" t="s">
        <v>2136</v>
      </c>
      <c r="C702" s="3" t="s">
        <v>2027</v>
      </c>
      <c r="D702" s="3" t="s">
        <v>2137</v>
      </c>
      <c r="E702" s="10">
        <v>5.70056000364E11</v>
      </c>
      <c r="F702" s="3" t="s">
        <v>2138</v>
      </c>
      <c r="G702" s="3" t="s">
        <v>50</v>
      </c>
      <c r="H702" s="12" t="s">
        <v>2101</v>
      </c>
      <c r="I702" s="3"/>
      <c r="J702" s="3"/>
      <c r="K702" s="3"/>
      <c r="L702" s="3"/>
      <c r="M702" s="3"/>
      <c r="N702" s="3"/>
      <c r="O702" s="3"/>
      <c r="P702" s="3"/>
      <c r="Q702" s="3"/>
    </row>
    <row r="703" ht="15.75" customHeight="1">
      <c r="A703" s="10">
        <v>702.0</v>
      </c>
      <c r="B703" s="3" t="s">
        <v>2139</v>
      </c>
      <c r="C703" s="3" t="s">
        <v>2103</v>
      </c>
      <c r="D703" s="3" t="s">
        <v>1427</v>
      </c>
      <c r="E703" s="10">
        <v>5.70056000366E11</v>
      </c>
      <c r="F703" s="3" t="s">
        <v>2140</v>
      </c>
      <c r="G703" s="3" t="s">
        <v>12</v>
      </c>
      <c r="H703" s="12" t="s">
        <v>13</v>
      </c>
      <c r="I703" s="3"/>
      <c r="J703" s="3"/>
      <c r="K703" s="3"/>
      <c r="L703" s="3" t="s">
        <v>89</v>
      </c>
      <c r="M703" s="3"/>
      <c r="N703" s="3"/>
      <c r="O703" s="3"/>
      <c r="P703" s="3"/>
      <c r="Q703" s="3"/>
    </row>
    <row r="704" ht="15.75" customHeight="1">
      <c r="A704" s="10">
        <v>703.0</v>
      </c>
      <c r="B704" s="3" t="s">
        <v>2141</v>
      </c>
      <c r="C704" s="3" t="s">
        <v>2142</v>
      </c>
      <c r="D704" s="3" t="s">
        <v>2143</v>
      </c>
      <c r="E704" s="10">
        <v>5.70056000127E11</v>
      </c>
      <c r="F704" s="3" t="s">
        <v>2144</v>
      </c>
      <c r="G704" s="3" t="s">
        <v>12</v>
      </c>
      <c r="H704" s="12" t="s">
        <v>28</v>
      </c>
      <c r="I704" s="3"/>
      <c r="J704" s="3"/>
      <c r="K704" s="3"/>
      <c r="L704" s="3"/>
      <c r="M704" s="3"/>
      <c r="N704" s="3"/>
      <c r="O704" s="3"/>
      <c r="P704" s="3"/>
      <c r="Q704" s="3"/>
    </row>
    <row r="705" ht="15.75" customHeight="1">
      <c r="A705" s="10">
        <v>704.0</v>
      </c>
      <c r="B705" s="3" t="s">
        <v>2145</v>
      </c>
      <c r="C705" s="3" t="s">
        <v>90</v>
      </c>
      <c r="D705" s="3" t="s">
        <v>2146</v>
      </c>
      <c r="E705" s="10">
        <v>5.70056000256E11</v>
      </c>
      <c r="F705" s="3" t="s">
        <v>2147</v>
      </c>
      <c r="G705" s="3" t="s">
        <v>1963</v>
      </c>
      <c r="H705" s="12" t="s">
        <v>2148</v>
      </c>
      <c r="I705" s="3"/>
      <c r="J705" s="3"/>
      <c r="K705" s="3"/>
      <c r="L705" s="3"/>
      <c r="M705" s="3"/>
      <c r="N705" s="3"/>
      <c r="O705" s="3"/>
      <c r="P705" s="3"/>
      <c r="Q705" s="3"/>
    </row>
    <row r="706" ht="15.75" customHeight="1">
      <c r="A706" s="10">
        <v>705.0</v>
      </c>
      <c r="B706" s="3" t="s">
        <v>2149</v>
      </c>
      <c r="C706" s="3" t="s">
        <v>549</v>
      </c>
      <c r="D706" s="3" t="s">
        <v>2150</v>
      </c>
      <c r="E706" s="10">
        <v>5.70056000369E11</v>
      </c>
      <c r="F706" s="3" t="s">
        <v>2151</v>
      </c>
      <c r="G706" s="3" t="s">
        <v>12</v>
      </c>
      <c r="H706" s="12" t="s">
        <v>2152</v>
      </c>
      <c r="I706" s="3"/>
      <c r="J706" s="3"/>
      <c r="K706" s="3"/>
      <c r="L706" s="3"/>
      <c r="M706" s="3"/>
      <c r="N706" s="3"/>
      <c r="O706" s="3"/>
      <c r="P706" s="3"/>
      <c r="Q706" s="3"/>
    </row>
    <row r="707" ht="15.75" customHeight="1">
      <c r="A707" s="10">
        <v>706.0</v>
      </c>
      <c r="B707" s="3" t="s">
        <v>2153</v>
      </c>
      <c r="C707" s="3" t="s">
        <v>262</v>
      </c>
      <c r="D707" s="3" t="s">
        <v>2154</v>
      </c>
      <c r="E707" s="10">
        <v>5.70056000371E11</v>
      </c>
      <c r="F707" s="3" t="s">
        <v>2155</v>
      </c>
      <c r="G707" s="3" t="s">
        <v>50</v>
      </c>
      <c r="H707" s="12" t="s">
        <v>13</v>
      </c>
      <c r="I707" s="3"/>
      <c r="J707" s="3"/>
      <c r="K707" s="3"/>
      <c r="L707" s="3"/>
      <c r="M707" s="3"/>
      <c r="N707" s="3"/>
      <c r="O707" s="3"/>
      <c r="P707" s="3"/>
      <c r="Q707" s="3"/>
    </row>
    <row r="708" ht="15.75" customHeight="1">
      <c r="A708" s="10">
        <v>707.0</v>
      </c>
      <c r="B708" s="3" t="s">
        <v>751</v>
      </c>
      <c r="C708" s="3" t="s">
        <v>2156</v>
      </c>
      <c r="D708" s="3" t="s">
        <v>2157</v>
      </c>
      <c r="E708" s="10">
        <v>5.70056000372E11</v>
      </c>
      <c r="F708" s="3" t="s">
        <v>2158</v>
      </c>
      <c r="G708" s="3" t="s">
        <v>12</v>
      </c>
      <c r="H708" s="12" t="s">
        <v>13</v>
      </c>
      <c r="I708" s="3"/>
      <c r="J708" s="3"/>
      <c r="K708" s="3"/>
      <c r="L708" s="3"/>
      <c r="M708" s="3"/>
      <c r="N708" s="3"/>
      <c r="O708" s="3"/>
      <c r="P708" s="3"/>
      <c r="Q708" s="3"/>
    </row>
    <row r="709" ht="15.75" customHeight="1">
      <c r="A709" s="10">
        <v>708.0</v>
      </c>
      <c r="B709" s="3" t="s">
        <v>1351</v>
      </c>
      <c r="C709" s="3" t="s">
        <v>2159</v>
      </c>
      <c r="D709" s="3" t="s">
        <v>25</v>
      </c>
      <c r="E709" s="10">
        <v>5.70056000373E11</v>
      </c>
      <c r="F709" s="3" t="s">
        <v>2160</v>
      </c>
      <c r="G709" s="3" t="s">
        <v>50</v>
      </c>
      <c r="H709" s="12" t="s">
        <v>13</v>
      </c>
      <c r="I709" s="3"/>
      <c r="J709" s="3"/>
      <c r="K709" s="3"/>
      <c r="L709" s="3"/>
      <c r="M709" s="3"/>
      <c r="N709" s="3"/>
      <c r="O709" s="3"/>
      <c r="P709" s="3"/>
      <c r="Q709" s="3"/>
    </row>
    <row r="710" ht="15.75" customHeight="1">
      <c r="A710" s="10">
        <v>709.0</v>
      </c>
      <c r="B710" s="3" t="s">
        <v>2161</v>
      </c>
      <c r="C710" s="3" t="s">
        <v>565</v>
      </c>
      <c r="D710" s="3" t="s">
        <v>2162</v>
      </c>
      <c r="E710" s="10">
        <v>5.70056000374E11</v>
      </c>
      <c r="F710" s="3" t="s">
        <v>2163</v>
      </c>
      <c r="G710" s="3" t="s">
        <v>12</v>
      </c>
      <c r="H710" s="12" t="s">
        <v>13</v>
      </c>
      <c r="I710" s="3"/>
      <c r="J710" s="3"/>
      <c r="K710" s="3"/>
      <c r="L710" s="3"/>
      <c r="M710" s="3"/>
      <c r="N710" s="3"/>
      <c r="O710" s="3"/>
      <c r="P710" s="3"/>
      <c r="Q710" s="3"/>
    </row>
    <row r="711" ht="15.75" customHeight="1">
      <c r="A711" s="10">
        <v>710.0</v>
      </c>
      <c r="B711" s="3" t="s">
        <v>2164</v>
      </c>
      <c r="C711" s="3" t="s">
        <v>80</v>
      </c>
      <c r="D711" s="3" t="s">
        <v>2165</v>
      </c>
      <c r="E711" s="10">
        <v>5.70056000375E11</v>
      </c>
      <c r="F711" s="3" t="s">
        <v>2166</v>
      </c>
      <c r="G711" s="3" t="s">
        <v>1814</v>
      </c>
      <c r="H711" s="12" t="s">
        <v>13</v>
      </c>
      <c r="I711" s="3"/>
      <c r="J711" s="3"/>
      <c r="K711" s="3"/>
      <c r="L711" s="3"/>
      <c r="M711" s="3"/>
      <c r="N711" s="3"/>
      <c r="O711" s="3"/>
      <c r="P711" s="3"/>
      <c r="Q711" s="3"/>
    </row>
    <row r="712" ht="15.75" customHeight="1">
      <c r="A712" s="10">
        <v>711.0</v>
      </c>
      <c r="B712" s="3" t="s">
        <v>2167</v>
      </c>
      <c r="C712" s="3" t="s">
        <v>2168</v>
      </c>
      <c r="D712" s="3" t="s">
        <v>2169</v>
      </c>
      <c r="E712" s="10">
        <v>5.70056000376E11</v>
      </c>
      <c r="F712" s="3" t="s">
        <v>2170</v>
      </c>
      <c r="G712" s="3" t="s">
        <v>12</v>
      </c>
      <c r="H712" s="12" t="s">
        <v>13</v>
      </c>
      <c r="I712" s="3"/>
      <c r="J712" s="3"/>
      <c r="K712" s="3"/>
      <c r="L712" s="3"/>
      <c r="M712" s="3"/>
      <c r="N712" s="3"/>
      <c r="O712" s="3"/>
      <c r="P712" s="3"/>
      <c r="Q712" s="3"/>
    </row>
    <row r="713" ht="15.75" customHeight="1">
      <c r="A713" s="10">
        <v>712.0</v>
      </c>
      <c r="B713" s="3" t="s">
        <v>2171</v>
      </c>
      <c r="C713" s="3" t="s">
        <v>372</v>
      </c>
      <c r="D713" s="3" t="s">
        <v>2172</v>
      </c>
      <c r="E713" s="10">
        <v>5.70056000381E11</v>
      </c>
      <c r="F713" s="3" t="s">
        <v>2173</v>
      </c>
      <c r="G713" s="3" t="s">
        <v>50</v>
      </c>
      <c r="H713" s="12" t="s">
        <v>13</v>
      </c>
      <c r="I713" s="3"/>
      <c r="J713" s="3"/>
      <c r="K713" s="3"/>
      <c r="L713" s="3"/>
      <c r="M713" s="3"/>
      <c r="N713" s="3"/>
      <c r="O713" s="3"/>
      <c r="P713" s="3"/>
      <c r="Q713" s="3"/>
    </row>
    <row r="714" ht="15.75" customHeight="1">
      <c r="A714" s="10">
        <v>713.0</v>
      </c>
      <c r="B714" s="3" t="s">
        <v>2174</v>
      </c>
      <c r="C714" s="3" t="s">
        <v>735</v>
      </c>
      <c r="D714" s="3" t="s">
        <v>2175</v>
      </c>
      <c r="E714" s="10">
        <v>5.70056000382E11</v>
      </c>
      <c r="F714" s="3" t="s">
        <v>2176</v>
      </c>
      <c r="G714" s="3" t="s">
        <v>50</v>
      </c>
      <c r="H714" s="12" t="s">
        <v>13</v>
      </c>
      <c r="I714" s="3"/>
      <c r="J714" s="3"/>
      <c r="K714" s="3"/>
      <c r="L714" s="3"/>
      <c r="M714" s="3"/>
      <c r="N714" s="3"/>
      <c r="O714" s="3"/>
      <c r="P714" s="3"/>
      <c r="Q714" s="3"/>
    </row>
    <row r="715" ht="15.75" customHeight="1">
      <c r="A715" s="10">
        <v>714.0</v>
      </c>
      <c r="B715" s="3" t="s">
        <v>2177</v>
      </c>
      <c r="C715" s="3" t="s">
        <v>2178</v>
      </c>
      <c r="D715" s="3" t="s">
        <v>2179</v>
      </c>
      <c r="E715" s="10">
        <v>5.70056000384E11</v>
      </c>
      <c r="F715" s="3" t="s">
        <v>2180</v>
      </c>
      <c r="G715" s="3" t="s">
        <v>12</v>
      </c>
      <c r="H715" s="12" t="s">
        <v>13</v>
      </c>
      <c r="I715" s="3"/>
      <c r="J715" s="3"/>
      <c r="K715" s="3"/>
      <c r="L715" s="3"/>
      <c r="M715" s="3"/>
      <c r="N715" s="3"/>
      <c r="O715" s="3"/>
      <c r="P715" s="3"/>
      <c r="Q715" s="3"/>
    </row>
    <row r="716" ht="15.75" customHeight="1">
      <c r="A716" s="10">
        <v>715.0</v>
      </c>
      <c r="B716" s="3" t="s">
        <v>2181</v>
      </c>
      <c r="C716" s="3" t="s">
        <v>133</v>
      </c>
      <c r="D716" s="3" t="s">
        <v>2182</v>
      </c>
      <c r="E716" s="10">
        <v>5.70056000385E11</v>
      </c>
      <c r="F716" s="3" t="s">
        <v>2183</v>
      </c>
      <c r="G716" s="3" t="s">
        <v>50</v>
      </c>
      <c r="H716" s="12" t="s">
        <v>13</v>
      </c>
      <c r="I716" s="3"/>
      <c r="J716" s="3"/>
      <c r="K716" s="3"/>
      <c r="L716" s="3"/>
      <c r="M716" s="3"/>
      <c r="N716" s="3"/>
      <c r="O716" s="3"/>
      <c r="P716" s="3"/>
      <c r="Q716" s="3"/>
    </row>
    <row r="717" ht="15.75" customHeight="1">
      <c r="A717" s="10">
        <v>716.0</v>
      </c>
      <c r="B717" s="3" t="s">
        <v>2184</v>
      </c>
      <c r="C717" s="3" t="s">
        <v>1413</v>
      </c>
      <c r="D717" s="3" t="s">
        <v>2185</v>
      </c>
      <c r="E717" s="10">
        <v>5.70056000386E11</v>
      </c>
      <c r="F717" s="3" t="s">
        <v>2186</v>
      </c>
      <c r="G717" s="3" t="s">
        <v>50</v>
      </c>
      <c r="H717" s="12" t="s">
        <v>13</v>
      </c>
      <c r="I717" s="3"/>
      <c r="J717" s="3"/>
      <c r="K717" s="3"/>
      <c r="L717" s="3"/>
      <c r="M717" s="3"/>
      <c r="N717" s="3"/>
      <c r="O717" s="3"/>
      <c r="P717" s="3"/>
      <c r="Q717" s="3"/>
    </row>
    <row r="718" ht="15.75" customHeight="1">
      <c r="A718" s="10">
        <v>717.0</v>
      </c>
      <c r="B718" s="3" t="s">
        <v>2061</v>
      </c>
      <c r="C718" s="3" t="s">
        <v>80</v>
      </c>
      <c r="D718" s="11" t="s">
        <v>1477</v>
      </c>
      <c r="E718" s="10">
        <v>5.70056000387E11</v>
      </c>
      <c r="F718" s="3" t="s">
        <v>2187</v>
      </c>
      <c r="G718" s="3" t="s">
        <v>12</v>
      </c>
      <c r="H718" s="3" t="s">
        <v>70</v>
      </c>
      <c r="I718" s="3" t="s">
        <v>71</v>
      </c>
      <c r="J718" s="12" t="s">
        <v>89</v>
      </c>
      <c r="K718" s="3"/>
      <c r="L718" s="3"/>
      <c r="M718" s="3"/>
      <c r="N718" s="3"/>
      <c r="O718" s="3"/>
      <c r="P718" s="3"/>
      <c r="Q718" s="3"/>
    </row>
    <row r="719" ht="15.75" customHeight="1">
      <c r="A719" s="10">
        <v>718.0</v>
      </c>
      <c r="B719" s="3" t="s">
        <v>2188</v>
      </c>
      <c r="C719" s="3" t="s">
        <v>1146</v>
      </c>
      <c r="D719" s="11" t="s">
        <v>2189</v>
      </c>
      <c r="E719" s="10">
        <v>5.70056000388E11</v>
      </c>
      <c r="F719" s="3" t="s">
        <v>2190</v>
      </c>
      <c r="G719" s="3" t="s">
        <v>37</v>
      </c>
      <c r="H719" s="3" t="s">
        <v>70</v>
      </c>
      <c r="I719" s="3" t="s">
        <v>71</v>
      </c>
      <c r="J719" s="12" t="s">
        <v>89</v>
      </c>
      <c r="K719" s="3"/>
      <c r="L719" s="3"/>
      <c r="M719" s="3"/>
      <c r="N719" s="3"/>
      <c r="O719" s="3"/>
      <c r="P719" s="3"/>
      <c r="Q719" s="3"/>
    </row>
    <row r="720" ht="15.75" customHeight="1">
      <c r="A720" s="10">
        <v>719.0</v>
      </c>
      <c r="B720" s="3" t="s">
        <v>2191</v>
      </c>
      <c r="C720" s="3" t="s">
        <v>124</v>
      </c>
      <c r="D720" s="11" t="s">
        <v>2192</v>
      </c>
      <c r="E720" s="10">
        <v>5.70056000389E11</v>
      </c>
      <c r="F720" s="3" t="s">
        <v>2193</v>
      </c>
      <c r="G720" s="3" t="s">
        <v>197</v>
      </c>
      <c r="H720" s="3" t="s">
        <v>70</v>
      </c>
      <c r="I720" s="3" t="s">
        <v>71</v>
      </c>
      <c r="J720" s="12" t="s">
        <v>89</v>
      </c>
      <c r="K720" s="3"/>
      <c r="L720" s="3"/>
      <c r="M720" s="3"/>
      <c r="N720" s="3"/>
      <c r="O720" s="3"/>
      <c r="P720" s="3"/>
      <c r="Q720" s="3"/>
    </row>
    <row r="721" ht="15.75" customHeight="1">
      <c r="A721" s="10">
        <v>720.0</v>
      </c>
      <c r="B721" s="3" t="s">
        <v>2194</v>
      </c>
      <c r="C721" s="3" t="s">
        <v>2195</v>
      </c>
      <c r="D721" s="11" t="s">
        <v>2196</v>
      </c>
      <c r="E721" s="10">
        <v>5.70056000392E11</v>
      </c>
      <c r="F721" s="3" t="s">
        <v>2197</v>
      </c>
      <c r="G721" s="3" t="s">
        <v>12</v>
      </c>
      <c r="H721" s="3" t="s">
        <v>70</v>
      </c>
      <c r="I721" s="3" t="s">
        <v>71</v>
      </c>
      <c r="J721" s="12" t="s">
        <v>89</v>
      </c>
      <c r="K721" s="3"/>
      <c r="L721" s="3"/>
      <c r="M721" s="3"/>
      <c r="N721" s="3"/>
      <c r="O721" s="3"/>
      <c r="P721" s="3"/>
      <c r="Q721" s="3"/>
    </row>
    <row r="722" ht="15.75" customHeight="1">
      <c r="A722" s="10">
        <v>721.0</v>
      </c>
      <c r="B722" s="3" t="s">
        <v>498</v>
      </c>
      <c r="C722" s="3" t="s">
        <v>121</v>
      </c>
      <c r="D722" s="11" t="s">
        <v>2198</v>
      </c>
      <c r="E722" s="10">
        <v>5.70056000393E11</v>
      </c>
      <c r="F722" s="3" t="s">
        <v>2199</v>
      </c>
      <c r="G722" s="3" t="s">
        <v>12</v>
      </c>
      <c r="H722" s="3" t="s">
        <v>70</v>
      </c>
      <c r="I722" s="3" t="s">
        <v>71</v>
      </c>
      <c r="J722" s="12" t="s">
        <v>89</v>
      </c>
      <c r="K722" s="3"/>
      <c r="L722" s="3"/>
      <c r="M722" s="3"/>
      <c r="N722" s="3"/>
      <c r="O722" s="3"/>
      <c r="P722" s="3"/>
      <c r="Q722" s="3"/>
    </row>
    <row r="723" ht="15.75" customHeight="1">
      <c r="A723" s="10">
        <v>722.0</v>
      </c>
      <c r="B723" s="3" t="s">
        <v>2200</v>
      </c>
      <c r="C723" s="3" t="s">
        <v>2201</v>
      </c>
      <c r="D723" s="11" t="s">
        <v>1324</v>
      </c>
      <c r="E723" s="10">
        <v>5.70056000396E11</v>
      </c>
      <c r="F723" s="3" t="s">
        <v>2202</v>
      </c>
      <c r="G723" s="3" t="s">
        <v>12</v>
      </c>
      <c r="H723" s="3" t="s">
        <v>70</v>
      </c>
      <c r="I723" s="3" t="s">
        <v>71</v>
      </c>
      <c r="J723" s="12" t="s">
        <v>89</v>
      </c>
      <c r="K723" s="3"/>
      <c r="L723" s="3"/>
      <c r="M723" s="3"/>
      <c r="N723" s="3"/>
      <c r="O723" s="3"/>
      <c r="P723" s="3"/>
      <c r="Q723" s="3"/>
    </row>
    <row r="724" ht="15.75" customHeight="1">
      <c r="A724" s="10">
        <v>723.0</v>
      </c>
      <c r="B724" s="3" t="s">
        <v>2203</v>
      </c>
      <c r="C724" s="3" t="s">
        <v>590</v>
      </c>
      <c r="D724" s="11" t="s">
        <v>608</v>
      </c>
      <c r="E724" s="10">
        <v>5.70056000397E11</v>
      </c>
      <c r="F724" s="3" t="s">
        <v>2204</v>
      </c>
      <c r="G724" s="3" t="s">
        <v>50</v>
      </c>
      <c r="H724" s="3" t="s">
        <v>70</v>
      </c>
      <c r="I724" s="3" t="s">
        <v>71</v>
      </c>
      <c r="J724" s="12" t="s">
        <v>89</v>
      </c>
      <c r="K724" s="3"/>
      <c r="L724" s="3"/>
      <c r="M724" s="3"/>
      <c r="N724" s="3"/>
      <c r="O724" s="3"/>
      <c r="P724" s="3"/>
      <c r="Q724" s="3"/>
    </row>
    <row r="725" ht="15.75" customHeight="1">
      <c r="A725" s="10">
        <v>724.0</v>
      </c>
      <c r="B725" s="3" t="s">
        <v>1833</v>
      </c>
      <c r="C725" s="3" t="s">
        <v>254</v>
      </c>
      <c r="D725" s="11" t="s">
        <v>2205</v>
      </c>
      <c r="E725" s="10">
        <v>5.70056000398E11</v>
      </c>
      <c r="F725" s="3" t="s">
        <v>2206</v>
      </c>
      <c r="G725" s="3" t="s">
        <v>12</v>
      </c>
      <c r="H725" s="3" t="s">
        <v>70</v>
      </c>
      <c r="I725" s="3" t="s">
        <v>71</v>
      </c>
      <c r="J725" s="12" t="s">
        <v>89</v>
      </c>
      <c r="K725" s="3"/>
      <c r="L725" s="3"/>
      <c r="M725" s="3"/>
      <c r="N725" s="3"/>
      <c r="O725" s="3"/>
      <c r="P725" s="3"/>
      <c r="Q725" s="3"/>
    </row>
    <row r="726" ht="15.75" customHeight="1">
      <c r="A726" s="10">
        <v>725.0</v>
      </c>
      <c r="B726" s="3" t="s">
        <v>2207</v>
      </c>
      <c r="C726" s="3" t="s">
        <v>1095</v>
      </c>
      <c r="D726" s="11" t="s">
        <v>2208</v>
      </c>
      <c r="E726" s="10">
        <v>5.70056000403E11</v>
      </c>
      <c r="F726" s="3" t="s">
        <v>2209</v>
      </c>
      <c r="G726" s="3" t="s">
        <v>50</v>
      </c>
      <c r="H726" s="3" t="s">
        <v>70</v>
      </c>
      <c r="I726" s="3" t="s">
        <v>71</v>
      </c>
      <c r="J726" s="12" t="s">
        <v>89</v>
      </c>
      <c r="K726" s="3"/>
      <c r="L726" s="3"/>
      <c r="M726" s="3"/>
      <c r="N726" s="3"/>
      <c r="O726" s="3"/>
      <c r="P726" s="3"/>
      <c r="Q726" s="3"/>
    </row>
    <row r="727" ht="15.75" customHeight="1">
      <c r="A727" s="10">
        <v>726.0</v>
      </c>
      <c r="B727" s="3" t="s">
        <v>2051</v>
      </c>
      <c r="C727" s="3" t="s">
        <v>38</v>
      </c>
      <c r="D727" s="11" t="s">
        <v>2210</v>
      </c>
      <c r="E727" s="10">
        <v>5.70056000404E11</v>
      </c>
      <c r="F727" s="3" t="s">
        <v>2211</v>
      </c>
      <c r="G727" s="3" t="s">
        <v>50</v>
      </c>
      <c r="H727" s="3" t="s">
        <v>70</v>
      </c>
      <c r="I727" s="3" t="s">
        <v>71</v>
      </c>
      <c r="J727" s="12" t="s">
        <v>89</v>
      </c>
      <c r="K727" s="3"/>
      <c r="L727" s="3"/>
      <c r="M727" s="3"/>
      <c r="N727" s="3"/>
      <c r="O727" s="3"/>
      <c r="P727" s="3"/>
      <c r="Q727" s="3"/>
    </row>
    <row r="728" ht="15.75" customHeight="1">
      <c r="A728" s="10">
        <v>727.0</v>
      </c>
      <c r="B728" s="3" t="s">
        <v>2212</v>
      </c>
      <c r="C728" s="3" t="s">
        <v>304</v>
      </c>
      <c r="D728" s="11" t="s">
        <v>1328</v>
      </c>
      <c r="E728" s="10">
        <v>5.70056000405E11</v>
      </c>
      <c r="F728" s="3" t="s">
        <v>2213</v>
      </c>
      <c r="G728" s="3" t="s">
        <v>12</v>
      </c>
      <c r="H728" s="3" t="s">
        <v>70</v>
      </c>
      <c r="I728" s="3" t="s">
        <v>71</v>
      </c>
      <c r="J728" s="12" t="s">
        <v>89</v>
      </c>
      <c r="K728" s="3"/>
      <c r="L728" s="3"/>
      <c r="M728" s="3"/>
      <c r="N728" s="3"/>
      <c r="O728" s="3"/>
      <c r="P728" s="3"/>
      <c r="Q728" s="3"/>
    </row>
    <row r="729" ht="15.75" customHeight="1">
      <c r="A729" s="10">
        <v>728.0</v>
      </c>
      <c r="B729" s="3" t="s">
        <v>2214</v>
      </c>
      <c r="C729" s="3" t="s">
        <v>2215</v>
      </c>
      <c r="D729" s="11" t="s">
        <v>2216</v>
      </c>
      <c r="E729" s="10">
        <v>5.70056000406E11</v>
      </c>
      <c r="F729" s="3" t="s">
        <v>2217</v>
      </c>
      <c r="G729" s="3" t="s">
        <v>50</v>
      </c>
      <c r="H729" s="3" t="s">
        <v>70</v>
      </c>
      <c r="I729" s="3" t="s">
        <v>71</v>
      </c>
      <c r="J729" s="12" t="s">
        <v>89</v>
      </c>
      <c r="K729" s="3"/>
      <c r="L729" s="3"/>
      <c r="M729" s="3"/>
      <c r="N729" s="3"/>
      <c r="O729" s="3"/>
      <c r="P729" s="3"/>
      <c r="Q729" s="3"/>
    </row>
    <row r="730" ht="15.75" customHeight="1">
      <c r="A730" s="10">
        <v>729.0</v>
      </c>
      <c r="B730" s="3" t="s">
        <v>633</v>
      </c>
      <c r="C730" s="3" t="s">
        <v>1225</v>
      </c>
      <c r="D730" s="11" t="s">
        <v>965</v>
      </c>
      <c r="E730" s="10">
        <v>5.70056000408E11</v>
      </c>
      <c r="F730" s="3" t="s">
        <v>2218</v>
      </c>
      <c r="G730" s="3" t="s">
        <v>12</v>
      </c>
      <c r="H730" s="3" t="s">
        <v>70</v>
      </c>
      <c r="I730" s="3" t="s">
        <v>71</v>
      </c>
      <c r="J730" s="12" t="s">
        <v>89</v>
      </c>
      <c r="K730" s="3"/>
      <c r="L730" s="3"/>
      <c r="M730" s="3"/>
      <c r="N730" s="3"/>
      <c r="O730" s="3"/>
      <c r="P730" s="3"/>
      <c r="Q730" s="3"/>
    </row>
    <row r="731" ht="15.75" customHeight="1">
      <c r="A731" s="10">
        <v>730.0</v>
      </c>
      <c r="B731" s="3" t="s">
        <v>2219</v>
      </c>
      <c r="C731" s="3" t="s">
        <v>2220</v>
      </c>
      <c r="D731" s="11" t="s">
        <v>2221</v>
      </c>
      <c r="E731" s="10">
        <v>5.7005600041E11</v>
      </c>
      <c r="F731" s="3" t="s">
        <v>2222</v>
      </c>
      <c r="G731" s="3" t="s">
        <v>12</v>
      </c>
      <c r="H731" s="3" t="s">
        <v>70</v>
      </c>
      <c r="I731" s="3" t="s">
        <v>71</v>
      </c>
      <c r="J731" s="12" t="s">
        <v>89</v>
      </c>
      <c r="K731" s="3"/>
      <c r="L731" s="3"/>
      <c r="M731" s="3"/>
      <c r="N731" s="3"/>
      <c r="O731" s="3"/>
      <c r="P731" s="3"/>
      <c r="Q731" s="3"/>
    </row>
    <row r="732" ht="15.75" customHeight="1">
      <c r="A732" s="10">
        <v>731.0</v>
      </c>
      <c r="B732" s="3" t="s">
        <v>120</v>
      </c>
      <c r="C732" s="3" t="s">
        <v>2223</v>
      </c>
      <c r="D732" s="11" t="s">
        <v>16</v>
      </c>
      <c r="E732" s="10">
        <v>5.70056000413E11</v>
      </c>
      <c r="F732" s="3" t="s">
        <v>2224</v>
      </c>
      <c r="G732" s="3" t="s">
        <v>12</v>
      </c>
      <c r="H732" s="3" t="s">
        <v>70</v>
      </c>
      <c r="I732" s="3" t="s">
        <v>71</v>
      </c>
      <c r="J732" s="12" t="s">
        <v>89</v>
      </c>
      <c r="K732" s="3"/>
      <c r="L732" s="3"/>
      <c r="M732" s="3"/>
      <c r="N732" s="3"/>
      <c r="O732" s="3"/>
      <c r="P732" s="3"/>
      <c r="Q732" s="3"/>
    </row>
    <row r="733" ht="15.75" customHeight="1">
      <c r="A733" s="10">
        <v>732.0</v>
      </c>
      <c r="B733" s="3" t="s">
        <v>2110</v>
      </c>
      <c r="C733" s="3" t="s">
        <v>456</v>
      </c>
      <c r="D733" s="11" t="s">
        <v>88</v>
      </c>
      <c r="E733" s="10">
        <v>5.70056000414E11</v>
      </c>
      <c r="F733" s="3" t="s">
        <v>2193</v>
      </c>
      <c r="G733" s="3" t="s">
        <v>50</v>
      </c>
      <c r="H733" s="3" t="s">
        <v>70</v>
      </c>
      <c r="I733" s="3" t="s">
        <v>71</v>
      </c>
      <c r="J733" s="12" t="s">
        <v>89</v>
      </c>
      <c r="K733" s="3"/>
      <c r="L733" s="3"/>
      <c r="M733" s="3"/>
      <c r="N733" s="3"/>
      <c r="O733" s="3"/>
      <c r="P733" s="3"/>
      <c r="Q733" s="3"/>
    </row>
    <row r="734" ht="15.75" customHeight="1">
      <c r="A734" s="10">
        <v>733.0</v>
      </c>
      <c r="B734" s="3" t="s">
        <v>2149</v>
      </c>
      <c r="C734" s="3" t="s">
        <v>2225</v>
      </c>
      <c r="D734" s="11" t="s">
        <v>2226</v>
      </c>
      <c r="E734" s="10">
        <v>5.70056000419E11</v>
      </c>
      <c r="F734" s="3" t="s">
        <v>2227</v>
      </c>
      <c r="G734" s="3" t="s">
        <v>50</v>
      </c>
      <c r="H734" s="3" t="s">
        <v>70</v>
      </c>
      <c r="I734" s="3" t="s">
        <v>71</v>
      </c>
      <c r="J734" s="12" t="s">
        <v>89</v>
      </c>
      <c r="K734" s="3"/>
      <c r="L734" s="3"/>
      <c r="M734" s="3"/>
      <c r="N734" s="3"/>
      <c r="O734" s="3"/>
      <c r="P734" s="3"/>
      <c r="Q734" s="3"/>
    </row>
    <row r="735" ht="15.75" customHeight="1">
      <c r="A735" s="10">
        <v>734.0</v>
      </c>
      <c r="B735" s="3" t="s">
        <v>2228</v>
      </c>
      <c r="C735" s="3" t="s">
        <v>2220</v>
      </c>
      <c r="D735" s="11" t="s">
        <v>2229</v>
      </c>
      <c r="E735" s="10">
        <v>5.70056000422E11</v>
      </c>
      <c r="F735" s="3" t="s">
        <v>2230</v>
      </c>
      <c r="G735" s="3" t="s">
        <v>12</v>
      </c>
      <c r="H735" s="3" t="s">
        <v>70</v>
      </c>
      <c r="I735" s="3" t="s">
        <v>71</v>
      </c>
      <c r="J735" s="12" t="s">
        <v>89</v>
      </c>
      <c r="K735" s="3"/>
      <c r="L735" s="3"/>
      <c r="M735" s="3"/>
      <c r="N735" s="3"/>
      <c r="O735" s="3"/>
      <c r="P735" s="3"/>
      <c r="Q735" s="3"/>
    </row>
    <row r="736" ht="15.75" customHeight="1">
      <c r="A736" s="10">
        <v>735.0</v>
      </c>
      <c r="B736" s="3" t="s">
        <v>2231</v>
      </c>
      <c r="C736" s="3" t="s">
        <v>525</v>
      </c>
      <c r="D736" s="11" t="s">
        <v>2189</v>
      </c>
      <c r="E736" s="10">
        <v>5.70056000423E11</v>
      </c>
      <c r="F736" s="3" t="s">
        <v>2232</v>
      </c>
      <c r="G736" s="3" t="s">
        <v>50</v>
      </c>
      <c r="H736" s="3" t="s">
        <v>70</v>
      </c>
      <c r="I736" s="3" t="s">
        <v>71</v>
      </c>
      <c r="J736" s="12" t="s">
        <v>89</v>
      </c>
      <c r="K736" s="3"/>
      <c r="L736" s="3"/>
      <c r="M736" s="3"/>
      <c r="N736" s="3"/>
      <c r="O736" s="3"/>
      <c r="P736" s="3"/>
      <c r="Q736" s="3"/>
    </row>
    <row r="737" ht="15.75" customHeight="1">
      <c r="A737" s="10">
        <v>736.0</v>
      </c>
      <c r="B737" s="3" t="s">
        <v>2233</v>
      </c>
      <c r="C737" s="3" t="s">
        <v>2234</v>
      </c>
      <c r="D737" s="11" t="s">
        <v>2235</v>
      </c>
      <c r="E737" s="10">
        <v>5.70056000424E11</v>
      </c>
      <c r="F737" s="3" t="s">
        <v>2236</v>
      </c>
      <c r="G737" s="3" t="s">
        <v>12</v>
      </c>
      <c r="H737" s="3" t="s">
        <v>70</v>
      </c>
      <c r="I737" s="3" t="s">
        <v>71</v>
      </c>
      <c r="J737" s="12" t="s">
        <v>89</v>
      </c>
      <c r="K737" s="3"/>
      <c r="L737" s="3"/>
      <c r="M737" s="3"/>
      <c r="N737" s="3"/>
      <c r="O737" s="3"/>
      <c r="P737" s="3"/>
      <c r="Q737" s="3"/>
    </row>
    <row r="738" ht="15.75" customHeight="1">
      <c r="A738" s="10">
        <v>737.0</v>
      </c>
      <c r="B738" s="3" t="s">
        <v>2237</v>
      </c>
      <c r="C738" s="3" t="s">
        <v>2238</v>
      </c>
      <c r="D738" s="11" t="s">
        <v>2239</v>
      </c>
      <c r="E738" s="10">
        <v>5.70056000426E11</v>
      </c>
      <c r="F738" s="3" t="s">
        <v>2240</v>
      </c>
      <c r="G738" s="3" t="s">
        <v>50</v>
      </c>
      <c r="H738" s="3" t="s">
        <v>70</v>
      </c>
      <c r="I738" s="3" t="s">
        <v>71</v>
      </c>
      <c r="J738" s="12" t="s">
        <v>89</v>
      </c>
      <c r="K738" s="3"/>
      <c r="L738" s="3"/>
      <c r="M738" s="3"/>
      <c r="N738" s="3"/>
      <c r="O738" s="3"/>
      <c r="P738" s="3"/>
      <c r="Q738" s="3"/>
    </row>
    <row r="739" ht="15.75" customHeight="1">
      <c r="A739" s="10">
        <v>738.0</v>
      </c>
      <c r="B739" s="3" t="s">
        <v>2228</v>
      </c>
      <c r="C739" s="3" t="s">
        <v>2241</v>
      </c>
      <c r="D739" s="11" t="s">
        <v>2242</v>
      </c>
      <c r="E739" s="10">
        <v>5.70056000427E11</v>
      </c>
      <c r="F739" s="3" t="s">
        <v>2243</v>
      </c>
      <c r="G739" s="3" t="s">
        <v>12</v>
      </c>
      <c r="H739" s="3" t="s">
        <v>70</v>
      </c>
      <c r="I739" s="3" t="s">
        <v>71</v>
      </c>
      <c r="J739" s="12" t="s">
        <v>89</v>
      </c>
      <c r="K739" s="3"/>
      <c r="L739" s="3"/>
      <c r="M739" s="3"/>
      <c r="N739" s="3"/>
      <c r="O739" s="3"/>
      <c r="P739" s="3"/>
      <c r="Q739" s="3"/>
    </row>
    <row r="740" ht="15.75" customHeight="1">
      <c r="A740" s="10">
        <v>739.0</v>
      </c>
      <c r="B740" s="3" t="s">
        <v>1476</v>
      </c>
      <c r="C740" s="3" t="s">
        <v>9</v>
      </c>
      <c r="D740" s="11" t="s">
        <v>2244</v>
      </c>
      <c r="E740" s="10">
        <v>5.70056000428E11</v>
      </c>
      <c r="F740" s="3" t="s">
        <v>1355</v>
      </c>
      <c r="G740" s="3" t="s">
        <v>12</v>
      </c>
      <c r="H740" s="3" t="s">
        <v>70</v>
      </c>
      <c r="I740" s="3" t="s">
        <v>71</v>
      </c>
      <c r="J740" s="12" t="s">
        <v>89</v>
      </c>
      <c r="K740" s="3"/>
      <c r="L740" s="3"/>
      <c r="M740" s="3"/>
      <c r="N740" s="3"/>
      <c r="O740" s="3"/>
      <c r="P740" s="3"/>
      <c r="Q740" s="3"/>
    </row>
    <row r="741" ht="15.75" customHeight="1">
      <c r="A741" s="10">
        <v>740.0</v>
      </c>
      <c r="B741" s="3" t="s">
        <v>2245</v>
      </c>
      <c r="C741" s="3" t="s">
        <v>2246</v>
      </c>
      <c r="D741" s="11" t="s">
        <v>2247</v>
      </c>
      <c r="E741" s="10">
        <v>5.70056000429E11</v>
      </c>
      <c r="F741" s="3" t="s">
        <v>2248</v>
      </c>
      <c r="G741" s="3" t="s">
        <v>12</v>
      </c>
      <c r="H741" s="3" t="s">
        <v>70</v>
      </c>
      <c r="I741" s="3" t="s">
        <v>71</v>
      </c>
      <c r="J741" s="12" t="s">
        <v>89</v>
      </c>
      <c r="K741" s="3"/>
      <c r="L741" s="3"/>
      <c r="M741" s="3"/>
      <c r="N741" s="3"/>
      <c r="O741" s="3"/>
      <c r="P741" s="3"/>
      <c r="Q741" s="3"/>
    </row>
    <row r="742" ht="15.75" customHeight="1">
      <c r="A742" s="10">
        <v>741.0</v>
      </c>
      <c r="B742" s="3" t="s">
        <v>2249</v>
      </c>
      <c r="C742" s="3" t="s">
        <v>2250</v>
      </c>
      <c r="D742" s="11" t="s">
        <v>2251</v>
      </c>
      <c r="E742" s="10">
        <v>5.7005600043E11</v>
      </c>
      <c r="F742" s="3" t="s">
        <v>2252</v>
      </c>
      <c r="G742" s="3" t="s">
        <v>50</v>
      </c>
      <c r="H742" s="3" t="s">
        <v>70</v>
      </c>
      <c r="I742" s="3" t="s">
        <v>71</v>
      </c>
      <c r="J742" s="12" t="s">
        <v>89</v>
      </c>
      <c r="K742" s="3"/>
      <c r="L742" s="3"/>
      <c r="M742" s="3"/>
      <c r="N742" s="3"/>
      <c r="O742" s="3"/>
      <c r="P742" s="3"/>
      <c r="Q742" s="3"/>
    </row>
    <row r="743" ht="15.75" customHeight="1">
      <c r="A743" s="10">
        <v>742.0</v>
      </c>
      <c r="B743" s="3" t="s">
        <v>2253</v>
      </c>
      <c r="C743" s="3" t="s">
        <v>855</v>
      </c>
      <c r="D743" s="11" t="s">
        <v>2254</v>
      </c>
      <c r="E743" s="10">
        <v>5.70056000431E11</v>
      </c>
      <c r="F743" s="3" t="s">
        <v>2255</v>
      </c>
      <c r="G743" s="3" t="s">
        <v>12</v>
      </c>
      <c r="H743" s="3" t="s">
        <v>70</v>
      </c>
      <c r="I743" s="3" t="s">
        <v>71</v>
      </c>
      <c r="J743" s="12" t="s">
        <v>89</v>
      </c>
      <c r="K743" s="3"/>
      <c r="L743" s="3"/>
      <c r="M743" s="3"/>
      <c r="N743" s="3"/>
      <c r="O743" s="3"/>
      <c r="P743" s="3"/>
      <c r="Q743" s="3"/>
    </row>
    <row r="744" ht="15.75" customHeight="1">
      <c r="A744" s="10">
        <v>743.0</v>
      </c>
      <c r="B744" s="3" t="s">
        <v>2256</v>
      </c>
      <c r="C744" s="3" t="s">
        <v>1315</v>
      </c>
      <c r="D744" s="11" t="s">
        <v>2257</v>
      </c>
      <c r="E744" s="10">
        <v>5.70056000437E11</v>
      </c>
      <c r="F744" s="3" t="s">
        <v>2255</v>
      </c>
      <c r="G744" s="3" t="s">
        <v>50</v>
      </c>
      <c r="H744" s="3" t="s">
        <v>70</v>
      </c>
      <c r="I744" s="3" t="s">
        <v>71</v>
      </c>
      <c r="J744" s="12" t="s">
        <v>89</v>
      </c>
      <c r="K744" s="3"/>
      <c r="L744" s="3"/>
      <c r="M744" s="3"/>
      <c r="N744" s="3"/>
      <c r="O744" s="3"/>
      <c r="P744" s="3"/>
      <c r="Q744" s="3"/>
    </row>
    <row r="745" ht="15.75" customHeight="1">
      <c r="A745" s="10">
        <v>744.0</v>
      </c>
      <c r="B745" s="3" t="s">
        <v>2258</v>
      </c>
      <c r="C745" s="3" t="s">
        <v>2259</v>
      </c>
      <c r="D745" s="11" t="s">
        <v>638</v>
      </c>
      <c r="E745" s="10">
        <v>5.70056000439E11</v>
      </c>
      <c r="F745" s="3" t="s">
        <v>2260</v>
      </c>
      <c r="G745" s="3" t="s">
        <v>50</v>
      </c>
      <c r="H745" s="3" t="s">
        <v>70</v>
      </c>
      <c r="I745" s="3" t="s">
        <v>71</v>
      </c>
      <c r="J745" s="12" t="s">
        <v>89</v>
      </c>
      <c r="K745" s="3"/>
      <c r="L745" s="3"/>
      <c r="M745" s="3"/>
      <c r="N745" s="3"/>
      <c r="O745" s="3"/>
      <c r="P745" s="3"/>
      <c r="Q745" s="3"/>
    </row>
    <row r="746" ht="15.75" customHeight="1">
      <c r="A746" s="10">
        <v>745.0</v>
      </c>
      <c r="B746" s="3" t="s">
        <v>2261</v>
      </c>
      <c r="C746" s="3" t="s">
        <v>396</v>
      </c>
      <c r="D746" s="11" t="s">
        <v>2239</v>
      </c>
      <c r="E746" s="10">
        <v>5.7005600044E11</v>
      </c>
      <c r="F746" s="3" t="s">
        <v>2262</v>
      </c>
      <c r="G746" s="3" t="s">
        <v>12</v>
      </c>
      <c r="H746" s="3" t="s">
        <v>70</v>
      </c>
      <c r="I746" s="3" t="s">
        <v>71</v>
      </c>
      <c r="J746" s="12" t="s">
        <v>89</v>
      </c>
      <c r="K746" s="3"/>
      <c r="L746" s="3"/>
      <c r="M746" s="3"/>
      <c r="N746" s="3"/>
      <c r="O746" s="3"/>
      <c r="P746" s="3"/>
      <c r="Q746" s="3"/>
    </row>
    <row r="747" ht="15.75" customHeight="1">
      <c r="A747" s="10">
        <v>746.0</v>
      </c>
      <c r="B747" s="3" t="s">
        <v>2263</v>
      </c>
      <c r="C747" s="3" t="s">
        <v>2264</v>
      </c>
      <c r="D747" s="11" t="s">
        <v>608</v>
      </c>
      <c r="E747" s="10">
        <v>5.70056000441E11</v>
      </c>
      <c r="F747" s="3" t="s">
        <v>2085</v>
      </c>
      <c r="G747" s="3" t="s">
        <v>50</v>
      </c>
      <c r="H747" s="3" t="s">
        <v>70</v>
      </c>
      <c r="I747" s="3" t="s">
        <v>71</v>
      </c>
      <c r="J747" s="12" t="s">
        <v>89</v>
      </c>
      <c r="K747" s="3"/>
      <c r="L747" s="3"/>
      <c r="M747" s="3"/>
      <c r="N747" s="3"/>
      <c r="O747" s="3"/>
      <c r="P747" s="3"/>
      <c r="Q747" s="3"/>
    </row>
    <row r="748" ht="15.75" customHeight="1">
      <c r="A748" s="10">
        <v>747.0</v>
      </c>
      <c r="B748" s="3" t="s">
        <v>2265</v>
      </c>
      <c r="C748" s="3" t="s">
        <v>205</v>
      </c>
      <c r="D748" s="11" t="s">
        <v>1477</v>
      </c>
      <c r="E748" s="10">
        <v>5.70056000443E11</v>
      </c>
      <c r="F748" s="3" t="s">
        <v>2266</v>
      </c>
      <c r="G748" s="3" t="s">
        <v>50</v>
      </c>
      <c r="H748" s="3" t="s">
        <v>70</v>
      </c>
      <c r="I748" s="3" t="s">
        <v>71</v>
      </c>
      <c r="J748" s="12" t="s">
        <v>89</v>
      </c>
      <c r="K748" s="3"/>
      <c r="L748" s="3"/>
      <c r="M748" s="3"/>
      <c r="N748" s="3"/>
      <c r="O748" s="3"/>
      <c r="P748" s="3"/>
      <c r="Q748" s="3"/>
    </row>
    <row r="749" ht="15.75" customHeight="1">
      <c r="A749" s="10">
        <v>748.0</v>
      </c>
      <c r="B749" s="3" t="s">
        <v>2267</v>
      </c>
      <c r="C749" s="3" t="s">
        <v>1279</v>
      </c>
      <c r="D749" s="11" t="s">
        <v>2254</v>
      </c>
      <c r="E749" s="10">
        <v>5.70056000446E11</v>
      </c>
      <c r="F749" s="3" t="s">
        <v>2268</v>
      </c>
      <c r="G749" s="3" t="s">
        <v>50</v>
      </c>
      <c r="H749" s="3" t="s">
        <v>70</v>
      </c>
      <c r="I749" s="3" t="s">
        <v>71</v>
      </c>
      <c r="J749" s="12" t="s">
        <v>89</v>
      </c>
      <c r="K749" s="3"/>
      <c r="L749" s="3"/>
      <c r="M749" s="3"/>
      <c r="N749" s="3"/>
      <c r="O749" s="3"/>
      <c r="P749" s="3"/>
      <c r="Q749" s="3"/>
    </row>
    <row r="750" ht="15.75" customHeight="1">
      <c r="A750" s="10">
        <v>749.0</v>
      </c>
      <c r="B750" s="3" t="s">
        <v>2269</v>
      </c>
      <c r="C750" s="3" t="s">
        <v>1165</v>
      </c>
      <c r="D750" s="11" t="s">
        <v>2270</v>
      </c>
      <c r="E750" s="10">
        <v>5.70056000447E11</v>
      </c>
      <c r="F750" s="3" t="s">
        <v>2271</v>
      </c>
      <c r="G750" s="3" t="s">
        <v>50</v>
      </c>
      <c r="H750" s="3" t="s">
        <v>70</v>
      </c>
      <c r="I750" s="3" t="s">
        <v>71</v>
      </c>
      <c r="J750" s="12" t="s">
        <v>89</v>
      </c>
      <c r="K750" s="3"/>
      <c r="L750" s="3"/>
      <c r="M750" s="3"/>
      <c r="N750" s="3"/>
      <c r="O750" s="3"/>
      <c r="P750" s="3"/>
      <c r="Q750" s="3"/>
    </row>
    <row r="751" ht="15.75" customHeight="1">
      <c r="A751" s="10">
        <v>750.0</v>
      </c>
      <c r="B751" s="3" t="s">
        <v>2272</v>
      </c>
      <c r="C751" s="3" t="s">
        <v>2273</v>
      </c>
      <c r="D751" s="11" t="s">
        <v>2274</v>
      </c>
      <c r="E751" s="10">
        <v>5.70056000452E11</v>
      </c>
      <c r="F751" s="3" t="s">
        <v>2275</v>
      </c>
      <c r="G751" s="3" t="s">
        <v>50</v>
      </c>
      <c r="H751" s="3" t="s">
        <v>70</v>
      </c>
      <c r="I751" s="3" t="s">
        <v>71</v>
      </c>
      <c r="J751" s="12" t="s">
        <v>89</v>
      </c>
      <c r="K751" s="3"/>
      <c r="L751" s="3"/>
      <c r="M751" s="3"/>
      <c r="N751" s="3"/>
      <c r="O751" s="3"/>
      <c r="P751" s="3"/>
      <c r="Q751" s="3"/>
    </row>
    <row r="752" ht="15.75" customHeight="1">
      <c r="A752" s="10">
        <v>751.0</v>
      </c>
      <c r="B752" s="3" t="s">
        <v>2276</v>
      </c>
      <c r="C752" s="3" t="s">
        <v>324</v>
      </c>
      <c r="D752" s="11" t="s">
        <v>2277</v>
      </c>
      <c r="E752" s="10">
        <v>5.70056000454E11</v>
      </c>
      <c r="F752" s="3" t="s">
        <v>2278</v>
      </c>
      <c r="G752" s="3" t="s">
        <v>50</v>
      </c>
      <c r="H752" s="3" t="s">
        <v>70</v>
      </c>
      <c r="I752" s="3" t="s">
        <v>71</v>
      </c>
      <c r="J752" s="12" t="s">
        <v>89</v>
      </c>
      <c r="K752" s="3"/>
      <c r="L752" s="3"/>
      <c r="M752" s="3"/>
      <c r="N752" s="3"/>
      <c r="O752" s="3"/>
      <c r="P752" s="3"/>
      <c r="Q752" s="3"/>
    </row>
    <row r="753" ht="15.75" customHeight="1">
      <c r="A753" s="10">
        <v>752.0</v>
      </c>
      <c r="B753" s="3" t="s">
        <v>1812</v>
      </c>
      <c r="C753" s="3" t="s">
        <v>162</v>
      </c>
      <c r="D753" s="11" t="s">
        <v>2279</v>
      </c>
      <c r="E753" s="10">
        <v>5.70056000455E11</v>
      </c>
      <c r="F753" s="3" t="s">
        <v>2280</v>
      </c>
      <c r="G753" s="3" t="s">
        <v>12</v>
      </c>
      <c r="H753" s="3" t="s">
        <v>70</v>
      </c>
      <c r="I753" s="3" t="s">
        <v>71</v>
      </c>
      <c r="J753" s="12" t="s">
        <v>89</v>
      </c>
      <c r="K753" s="3"/>
      <c r="L753" s="3"/>
      <c r="M753" s="3"/>
      <c r="N753" s="3"/>
      <c r="O753" s="3"/>
      <c r="P753" s="3"/>
      <c r="Q753" s="3"/>
    </row>
    <row r="754" ht="15.75" customHeight="1">
      <c r="A754" s="10">
        <v>753.0</v>
      </c>
      <c r="B754" s="3" t="s">
        <v>2281</v>
      </c>
      <c r="C754" s="3" t="s">
        <v>2282</v>
      </c>
      <c r="D754" s="11" t="s">
        <v>171</v>
      </c>
      <c r="E754" s="10">
        <v>5.70056000456E11</v>
      </c>
      <c r="F754" s="3" t="s">
        <v>2266</v>
      </c>
      <c r="G754" s="3" t="s">
        <v>50</v>
      </c>
      <c r="H754" s="3" t="s">
        <v>70</v>
      </c>
      <c r="I754" s="3" t="s">
        <v>71</v>
      </c>
      <c r="J754" s="12" t="s">
        <v>89</v>
      </c>
      <c r="K754" s="3"/>
      <c r="L754" s="3"/>
      <c r="M754" s="3"/>
      <c r="N754" s="3"/>
      <c r="O754" s="3"/>
      <c r="P754" s="3"/>
      <c r="Q754" s="3"/>
    </row>
    <row r="755" ht="15.75" customHeight="1">
      <c r="A755" s="10">
        <v>754.0</v>
      </c>
      <c r="B755" s="3" t="s">
        <v>2273</v>
      </c>
      <c r="C755" s="3" t="s">
        <v>2283</v>
      </c>
      <c r="D755" s="11" t="s">
        <v>2284</v>
      </c>
      <c r="E755" s="10">
        <v>5.70056000458E11</v>
      </c>
      <c r="F755" s="3" t="s">
        <v>1186</v>
      </c>
      <c r="G755" s="3" t="s">
        <v>12</v>
      </c>
      <c r="H755" s="3" t="s">
        <v>70</v>
      </c>
      <c r="I755" s="3" t="s">
        <v>71</v>
      </c>
      <c r="J755" s="12" t="s">
        <v>89</v>
      </c>
      <c r="K755" s="3"/>
      <c r="L755" s="3"/>
      <c r="M755" s="3"/>
      <c r="N755" s="3"/>
      <c r="O755" s="3"/>
      <c r="P755" s="3"/>
      <c r="Q755" s="3"/>
    </row>
    <row r="756" ht="15.75" customHeight="1">
      <c r="A756" s="10">
        <v>755.0</v>
      </c>
      <c r="B756" s="3" t="s">
        <v>2285</v>
      </c>
      <c r="C756" s="3" t="s">
        <v>460</v>
      </c>
      <c r="D756" s="11" t="s">
        <v>2286</v>
      </c>
      <c r="E756" s="10">
        <v>5.70056000462E11</v>
      </c>
      <c r="F756" s="3" t="s">
        <v>2266</v>
      </c>
      <c r="G756" s="3" t="s">
        <v>12</v>
      </c>
      <c r="H756" s="3" t="s">
        <v>70</v>
      </c>
      <c r="I756" s="3" t="s">
        <v>71</v>
      </c>
      <c r="J756" s="12" t="s">
        <v>89</v>
      </c>
      <c r="K756" s="3"/>
      <c r="L756" s="3"/>
      <c r="M756" s="3"/>
      <c r="N756" s="3"/>
      <c r="O756" s="3"/>
      <c r="P756" s="3"/>
      <c r="Q756" s="3"/>
    </row>
    <row r="757" ht="15.75" customHeight="1">
      <c r="A757" s="10">
        <v>756.0</v>
      </c>
      <c r="B757" s="3" t="s">
        <v>1390</v>
      </c>
      <c r="C757" s="3" t="s">
        <v>400</v>
      </c>
      <c r="D757" s="11" t="s">
        <v>48</v>
      </c>
      <c r="E757" s="10">
        <v>5.70056000463E11</v>
      </c>
      <c r="F757" s="3" t="s">
        <v>2287</v>
      </c>
      <c r="G757" s="3" t="s">
        <v>12</v>
      </c>
      <c r="H757" s="3" t="s">
        <v>70</v>
      </c>
      <c r="I757" s="3" t="s">
        <v>71</v>
      </c>
      <c r="J757" s="12" t="s">
        <v>89</v>
      </c>
      <c r="K757" s="3"/>
      <c r="L757" s="3"/>
      <c r="M757" s="3"/>
      <c r="N757" s="3"/>
      <c r="O757" s="3"/>
      <c r="P757" s="3"/>
      <c r="Q757" s="3"/>
    </row>
    <row r="758" ht="15.75" customHeight="1">
      <c r="A758" s="10">
        <v>757.0</v>
      </c>
      <c r="B758" s="3" t="s">
        <v>2288</v>
      </c>
      <c r="C758" s="3" t="s">
        <v>1283</v>
      </c>
      <c r="D758" s="11" t="s">
        <v>152</v>
      </c>
      <c r="E758" s="10">
        <v>5.70056000467E11</v>
      </c>
      <c r="F758" s="3" t="s">
        <v>2289</v>
      </c>
      <c r="G758" s="3" t="s">
        <v>50</v>
      </c>
      <c r="H758" s="3" t="s">
        <v>70</v>
      </c>
      <c r="I758" s="3" t="s">
        <v>71</v>
      </c>
      <c r="J758" s="12" t="s">
        <v>89</v>
      </c>
      <c r="K758" s="3"/>
      <c r="L758" s="3"/>
      <c r="M758" s="3"/>
      <c r="N758" s="3"/>
      <c r="O758" s="3"/>
      <c r="P758" s="3"/>
      <c r="Q758" s="3"/>
    </row>
    <row r="759" ht="15.75" customHeight="1">
      <c r="A759" s="10">
        <v>758.0</v>
      </c>
      <c r="B759" s="3" t="s">
        <v>275</v>
      </c>
      <c r="C759" s="3" t="s">
        <v>1222</v>
      </c>
      <c r="D759" s="11" t="s">
        <v>638</v>
      </c>
      <c r="E759" s="10">
        <v>5.70056000469E11</v>
      </c>
      <c r="F759" s="3" t="s">
        <v>2290</v>
      </c>
      <c r="G759" s="3" t="s">
        <v>12</v>
      </c>
      <c r="H759" s="3" t="s">
        <v>70</v>
      </c>
      <c r="I759" s="3" t="s">
        <v>71</v>
      </c>
      <c r="J759" s="12" t="s">
        <v>89</v>
      </c>
      <c r="K759" s="3"/>
      <c r="L759" s="3"/>
      <c r="M759" s="3"/>
      <c r="N759" s="3"/>
      <c r="O759" s="3"/>
      <c r="P759" s="3"/>
      <c r="Q759" s="3"/>
    </row>
    <row r="760" ht="15.75" customHeight="1">
      <c r="A760" s="10">
        <v>759.0</v>
      </c>
      <c r="B760" s="3" t="s">
        <v>2291</v>
      </c>
      <c r="C760" s="3" t="s">
        <v>1939</v>
      </c>
      <c r="D760" s="11" t="s">
        <v>2292</v>
      </c>
      <c r="E760" s="10">
        <v>5.70056000472E11</v>
      </c>
      <c r="F760" s="3" t="s">
        <v>2293</v>
      </c>
      <c r="G760" s="3" t="s">
        <v>12</v>
      </c>
      <c r="H760" s="3" t="s">
        <v>70</v>
      </c>
      <c r="I760" s="3" t="s">
        <v>71</v>
      </c>
      <c r="J760" s="12" t="s">
        <v>89</v>
      </c>
      <c r="K760" s="3"/>
      <c r="L760" s="3"/>
      <c r="M760" s="3"/>
      <c r="N760" s="3"/>
      <c r="O760" s="3"/>
      <c r="P760" s="3"/>
      <c r="Q760" s="3"/>
    </row>
    <row r="761" ht="15.75" customHeight="1">
      <c r="A761" s="10">
        <v>760.0</v>
      </c>
      <c r="B761" s="3" t="s">
        <v>173</v>
      </c>
      <c r="C761" s="3" t="s">
        <v>2294</v>
      </c>
      <c r="D761" s="11" t="s">
        <v>31</v>
      </c>
      <c r="E761" s="10">
        <v>5.70056000473E11</v>
      </c>
      <c r="F761" s="3" t="s">
        <v>2295</v>
      </c>
      <c r="G761" s="3" t="s">
        <v>50</v>
      </c>
      <c r="H761" s="3" t="s">
        <v>70</v>
      </c>
      <c r="I761" s="3" t="s">
        <v>71</v>
      </c>
      <c r="J761" s="12" t="s">
        <v>89</v>
      </c>
      <c r="K761" s="3"/>
      <c r="L761" s="3"/>
      <c r="M761" s="3"/>
      <c r="N761" s="3"/>
      <c r="O761" s="3"/>
      <c r="P761" s="3"/>
      <c r="Q761" s="3"/>
    </row>
    <row r="762" ht="15.75" customHeight="1">
      <c r="A762" s="10">
        <v>761.0</v>
      </c>
      <c r="B762" s="3" t="s">
        <v>2082</v>
      </c>
      <c r="C762" s="3" t="s">
        <v>513</v>
      </c>
      <c r="D762" s="11" t="s">
        <v>2296</v>
      </c>
      <c r="E762" s="10">
        <v>5.70056000475E11</v>
      </c>
      <c r="F762" s="3" t="s">
        <v>2297</v>
      </c>
      <c r="G762" s="3" t="s">
        <v>50</v>
      </c>
      <c r="H762" s="3" t="s">
        <v>70</v>
      </c>
      <c r="I762" s="3" t="s">
        <v>71</v>
      </c>
      <c r="J762" s="12" t="s">
        <v>89</v>
      </c>
      <c r="K762" s="3"/>
      <c r="L762" s="3"/>
      <c r="M762" s="3"/>
      <c r="N762" s="3"/>
      <c r="O762" s="3"/>
      <c r="P762" s="3"/>
      <c r="Q762" s="3"/>
    </row>
    <row r="763" ht="15.75" customHeight="1">
      <c r="A763" s="10">
        <v>762.0</v>
      </c>
      <c r="B763" s="3" t="s">
        <v>2298</v>
      </c>
      <c r="C763" s="3" t="s">
        <v>2299</v>
      </c>
      <c r="D763" s="11" t="s">
        <v>248</v>
      </c>
      <c r="E763" s="10">
        <v>5.70056000481E11</v>
      </c>
      <c r="F763" s="3" t="s">
        <v>2300</v>
      </c>
      <c r="G763" s="3" t="s">
        <v>37</v>
      </c>
      <c r="H763" s="3" t="s">
        <v>70</v>
      </c>
      <c r="I763" s="3" t="s">
        <v>71</v>
      </c>
      <c r="J763" s="12" t="s">
        <v>89</v>
      </c>
      <c r="K763" s="3"/>
      <c r="L763" s="3"/>
      <c r="M763" s="3"/>
      <c r="N763" s="3"/>
      <c r="O763" s="3"/>
      <c r="P763" s="3"/>
      <c r="Q763" s="3"/>
    </row>
    <row r="764" ht="15.75" customHeight="1">
      <c r="A764" s="10">
        <v>763.0</v>
      </c>
      <c r="B764" s="3" t="s">
        <v>275</v>
      </c>
      <c r="C764" s="3" t="s">
        <v>360</v>
      </c>
      <c r="D764" s="11" t="s">
        <v>1189</v>
      </c>
      <c r="E764" s="10">
        <v>5.70056000483E11</v>
      </c>
      <c r="F764" s="3" t="s">
        <v>2301</v>
      </c>
      <c r="G764" s="3" t="s">
        <v>50</v>
      </c>
      <c r="H764" s="3" t="s">
        <v>70</v>
      </c>
      <c r="I764" s="3" t="s">
        <v>71</v>
      </c>
      <c r="J764" s="12" t="s">
        <v>89</v>
      </c>
      <c r="K764" s="3"/>
      <c r="L764" s="3"/>
      <c r="M764" s="3"/>
      <c r="N764" s="3"/>
      <c r="O764" s="3"/>
      <c r="P764" s="3"/>
      <c r="Q764" s="3"/>
    </row>
    <row r="765" ht="15.75" customHeight="1">
      <c r="A765" s="10">
        <v>764.0</v>
      </c>
      <c r="B765" s="3" t="s">
        <v>1913</v>
      </c>
      <c r="C765" s="3" t="s">
        <v>128</v>
      </c>
      <c r="D765" s="11" t="s">
        <v>2302</v>
      </c>
      <c r="E765" s="10">
        <v>5.70056000485E11</v>
      </c>
      <c r="F765" s="3" t="s">
        <v>1325</v>
      </c>
      <c r="G765" s="3" t="s">
        <v>12</v>
      </c>
      <c r="H765" s="3" t="s">
        <v>70</v>
      </c>
      <c r="I765" s="3" t="s">
        <v>71</v>
      </c>
      <c r="J765" s="12" t="s">
        <v>89</v>
      </c>
      <c r="K765" s="3"/>
      <c r="L765" s="3"/>
      <c r="M765" s="3"/>
      <c r="N765" s="3"/>
      <c r="O765" s="3"/>
      <c r="P765" s="3"/>
      <c r="Q765" s="3"/>
    </row>
    <row r="766" ht="15.75" customHeight="1">
      <c r="A766" s="10">
        <v>765.0</v>
      </c>
      <c r="B766" s="3" t="s">
        <v>2303</v>
      </c>
      <c r="C766" s="3" t="s">
        <v>9</v>
      </c>
      <c r="D766" s="11" t="s">
        <v>2049</v>
      </c>
      <c r="E766" s="10">
        <v>5.70056000486E11</v>
      </c>
      <c r="F766" s="3" t="s">
        <v>2304</v>
      </c>
      <c r="G766" s="3" t="s">
        <v>12</v>
      </c>
      <c r="H766" s="3" t="s">
        <v>70</v>
      </c>
      <c r="I766" s="3" t="s">
        <v>71</v>
      </c>
      <c r="J766" s="12" t="s">
        <v>89</v>
      </c>
      <c r="K766" s="3"/>
      <c r="L766" s="3"/>
      <c r="M766" s="3"/>
      <c r="N766" s="3"/>
      <c r="O766" s="3"/>
      <c r="P766" s="3"/>
      <c r="Q766" s="3"/>
    </row>
    <row r="767" ht="15.75" customHeight="1">
      <c r="A767" s="10">
        <v>766.0</v>
      </c>
      <c r="B767" s="3" t="s">
        <v>2305</v>
      </c>
      <c r="C767" s="3" t="s">
        <v>2073</v>
      </c>
      <c r="D767" s="11" t="s">
        <v>2306</v>
      </c>
      <c r="E767" s="10">
        <v>5.70056000489E11</v>
      </c>
      <c r="F767" s="3" t="s">
        <v>2307</v>
      </c>
      <c r="G767" s="3" t="s">
        <v>50</v>
      </c>
      <c r="H767" s="3" t="s">
        <v>70</v>
      </c>
      <c r="I767" s="3" t="s">
        <v>71</v>
      </c>
      <c r="J767" s="12" t="s">
        <v>89</v>
      </c>
      <c r="K767" s="3"/>
      <c r="L767" s="3"/>
      <c r="M767" s="3"/>
      <c r="N767" s="3"/>
      <c r="O767" s="3"/>
      <c r="P767" s="3"/>
      <c r="Q767" s="3"/>
    </row>
    <row r="768" ht="15.75" customHeight="1">
      <c r="A768" s="10">
        <v>767.0</v>
      </c>
      <c r="B768" s="3" t="s">
        <v>2308</v>
      </c>
      <c r="C768" s="3" t="s">
        <v>128</v>
      </c>
      <c r="D768" s="11" t="s">
        <v>2309</v>
      </c>
      <c r="E768" s="10">
        <v>5.7005600049E11</v>
      </c>
      <c r="F768" s="3" t="s">
        <v>2310</v>
      </c>
      <c r="G768" s="3" t="s">
        <v>12</v>
      </c>
      <c r="H768" s="3" t="s">
        <v>70</v>
      </c>
      <c r="I768" s="3" t="s">
        <v>71</v>
      </c>
      <c r="J768" s="12" t="s">
        <v>89</v>
      </c>
      <c r="K768" s="3"/>
      <c r="L768" s="3"/>
      <c r="M768" s="3"/>
      <c r="N768" s="3"/>
      <c r="O768" s="3"/>
      <c r="P768" s="3"/>
      <c r="Q768" s="3"/>
    </row>
    <row r="769" ht="15.75" customHeight="1">
      <c r="A769" s="10">
        <v>768.0</v>
      </c>
      <c r="B769" s="3" t="s">
        <v>2311</v>
      </c>
      <c r="C769" s="3" t="s">
        <v>2312</v>
      </c>
      <c r="D769" s="11" t="s">
        <v>510</v>
      </c>
      <c r="E769" s="10">
        <v>5.70056000491E11</v>
      </c>
      <c r="F769" s="3" t="s">
        <v>2313</v>
      </c>
      <c r="G769" s="3" t="s">
        <v>50</v>
      </c>
      <c r="H769" s="3" t="s">
        <v>70</v>
      </c>
      <c r="I769" s="3" t="s">
        <v>71</v>
      </c>
      <c r="J769" s="12" t="s">
        <v>89</v>
      </c>
      <c r="K769" s="3"/>
      <c r="L769" s="3"/>
      <c r="M769" s="3"/>
      <c r="N769" s="3"/>
      <c r="O769" s="3"/>
      <c r="P769" s="3"/>
      <c r="Q769" s="3"/>
    </row>
    <row r="770" ht="15.75" customHeight="1">
      <c r="A770" s="10">
        <v>769.0</v>
      </c>
      <c r="B770" s="3" t="s">
        <v>2314</v>
      </c>
      <c r="C770" s="3" t="s">
        <v>2241</v>
      </c>
      <c r="D770" s="11" t="s">
        <v>306</v>
      </c>
      <c r="E770" s="10">
        <v>5.70056000492E11</v>
      </c>
      <c r="F770" s="3" t="s">
        <v>2315</v>
      </c>
      <c r="G770" s="3" t="s">
        <v>12</v>
      </c>
      <c r="H770" s="10">
        <v>0.0</v>
      </c>
      <c r="I770" s="3" t="s">
        <v>70</v>
      </c>
      <c r="J770" s="3" t="s">
        <v>71</v>
      </c>
      <c r="K770" s="3" t="s">
        <v>89</v>
      </c>
      <c r="L770" s="3"/>
      <c r="M770" s="3"/>
      <c r="N770" s="3"/>
      <c r="O770" s="3"/>
      <c r="P770" s="3"/>
      <c r="Q770" s="3"/>
    </row>
    <row r="771" ht="15.75" customHeight="1">
      <c r="A771" s="10">
        <v>770.0</v>
      </c>
      <c r="B771" s="3" t="s">
        <v>2316</v>
      </c>
      <c r="C771" s="3" t="s">
        <v>2317</v>
      </c>
      <c r="D771" s="11" t="s">
        <v>2318</v>
      </c>
      <c r="E771" s="10">
        <v>5.70056000493E11</v>
      </c>
      <c r="F771" s="3" t="s">
        <v>1927</v>
      </c>
      <c r="G771" s="3" t="s">
        <v>12</v>
      </c>
      <c r="H771" s="3" t="s">
        <v>70</v>
      </c>
      <c r="I771" s="3" t="s">
        <v>71</v>
      </c>
      <c r="J771" s="12" t="s">
        <v>89</v>
      </c>
      <c r="K771" s="3"/>
      <c r="L771" s="3"/>
      <c r="M771" s="3"/>
      <c r="N771" s="3"/>
      <c r="O771" s="3"/>
      <c r="P771" s="3"/>
      <c r="Q771" s="3"/>
    </row>
    <row r="772" ht="15.75" customHeight="1">
      <c r="A772" s="10">
        <v>771.0</v>
      </c>
      <c r="B772" s="3" t="s">
        <v>2319</v>
      </c>
      <c r="C772" s="3" t="s">
        <v>2320</v>
      </c>
      <c r="D772" s="11" t="s">
        <v>470</v>
      </c>
      <c r="E772" s="10">
        <v>5.70056000495E11</v>
      </c>
      <c r="F772" s="3" t="s">
        <v>2321</v>
      </c>
      <c r="G772" s="3" t="s">
        <v>50</v>
      </c>
      <c r="H772" s="3" t="s">
        <v>70</v>
      </c>
      <c r="I772" s="3" t="s">
        <v>71</v>
      </c>
      <c r="J772" s="12" t="s">
        <v>89</v>
      </c>
      <c r="K772" s="3"/>
      <c r="L772" s="3"/>
      <c r="M772" s="3"/>
      <c r="N772" s="3"/>
      <c r="O772" s="3"/>
      <c r="P772" s="3"/>
      <c r="Q772" s="3"/>
    </row>
    <row r="773" ht="15.75" customHeight="1">
      <c r="A773" s="10">
        <v>772.0</v>
      </c>
      <c r="B773" s="3" t="s">
        <v>2322</v>
      </c>
      <c r="C773" s="3" t="s">
        <v>1158</v>
      </c>
      <c r="D773" s="11" t="s">
        <v>2323</v>
      </c>
      <c r="E773" s="10">
        <v>5.70056000497E11</v>
      </c>
      <c r="F773" s="3" t="s">
        <v>2170</v>
      </c>
      <c r="G773" s="3" t="s">
        <v>50</v>
      </c>
      <c r="H773" s="3" t="s">
        <v>70</v>
      </c>
      <c r="I773" s="3" t="s">
        <v>71</v>
      </c>
      <c r="J773" s="12" t="s">
        <v>89</v>
      </c>
      <c r="K773" s="3"/>
      <c r="L773" s="3"/>
      <c r="M773" s="3"/>
      <c r="N773" s="3"/>
      <c r="O773" s="3"/>
      <c r="P773" s="3"/>
      <c r="Q773" s="3"/>
    </row>
    <row r="774" ht="15.75" customHeight="1">
      <c r="A774" s="10">
        <v>773.0</v>
      </c>
      <c r="B774" s="3" t="s">
        <v>2324</v>
      </c>
      <c r="C774" s="3" t="s">
        <v>2325</v>
      </c>
      <c r="D774" s="11" t="s">
        <v>470</v>
      </c>
      <c r="E774" s="10">
        <v>5.70056000498E11</v>
      </c>
      <c r="F774" s="3" t="s">
        <v>2326</v>
      </c>
      <c r="G774" s="3" t="s">
        <v>50</v>
      </c>
      <c r="H774" s="3" t="s">
        <v>70</v>
      </c>
      <c r="I774" s="3" t="s">
        <v>71</v>
      </c>
      <c r="J774" s="12" t="s">
        <v>89</v>
      </c>
      <c r="K774" s="3"/>
      <c r="L774" s="3"/>
      <c r="M774" s="3"/>
      <c r="N774" s="3"/>
      <c r="O774" s="3"/>
      <c r="P774" s="3"/>
      <c r="Q774" s="3"/>
    </row>
    <row r="775" ht="15.75" customHeight="1">
      <c r="A775" s="10">
        <v>774.0</v>
      </c>
      <c r="B775" s="3" t="s">
        <v>1973</v>
      </c>
      <c r="C775" s="3" t="s">
        <v>1651</v>
      </c>
      <c r="D775" s="11" t="s">
        <v>2327</v>
      </c>
      <c r="E775" s="10">
        <v>5.70056000499E11</v>
      </c>
      <c r="F775" s="3" t="s">
        <v>2328</v>
      </c>
      <c r="G775" s="3" t="s">
        <v>12</v>
      </c>
      <c r="H775" s="3" t="s">
        <v>70</v>
      </c>
      <c r="I775" s="3" t="s">
        <v>71</v>
      </c>
      <c r="J775" s="12" t="s">
        <v>89</v>
      </c>
      <c r="K775" s="3"/>
      <c r="L775" s="3"/>
      <c r="M775" s="3"/>
      <c r="N775" s="3"/>
      <c r="O775" s="3"/>
      <c r="P775" s="3"/>
      <c r="Q775" s="3"/>
    </row>
    <row r="776" ht="15.75" customHeight="1">
      <c r="A776" s="10">
        <v>775.0</v>
      </c>
      <c r="B776" s="3" t="s">
        <v>2329</v>
      </c>
      <c r="C776" s="3" t="s">
        <v>2330</v>
      </c>
      <c r="D776" s="11" t="s">
        <v>2331</v>
      </c>
      <c r="E776" s="10">
        <v>5.700560005E11</v>
      </c>
      <c r="F776" s="3" t="s">
        <v>2160</v>
      </c>
      <c r="G776" s="3" t="s">
        <v>50</v>
      </c>
      <c r="H776" s="3" t="s">
        <v>70</v>
      </c>
      <c r="I776" s="3" t="s">
        <v>71</v>
      </c>
      <c r="J776" s="12" t="s">
        <v>89</v>
      </c>
      <c r="K776" s="3"/>
      <c r="L776" s="3"/>
      <c r="M776" s="3"/>
      <c r="N776" s="3"/>
      <c r="O776" s="3"/>
      <c r="P776" s="3"/>
      <c r="Q776" s="3"/>
    </row>
    <row r="777" ht="15.75" customHeight="1">
      <c r="A777" s="10">
        <v>776.0</v>
      </c>
      <c r="B777" s="3" t="s">
        <v>2332</v>
      </c>
      <c r="C777" s="3" t="s">
        <v>406</v>
      </c>
      <c r="D777" s="11" t="s">
        <v>2333</v>
      </c>
      <c r="E777" s="10">
        <v>5.70056000503E11</v>
      </c>
      <c r="F777" s="3" t="s">
        <v>2334</v>
      </c>
      <c r="G777" s="3" t="s">
        <v>12</v>
      </c>
      <c r="H777" s="3" t="s">
        <v>70</v>
      </c>
      <c r="I777" s="3" t="s">
        <v>71</v>
      </c>
      <c r="J777" s="12" t="s">
        <v>89</v>
      </c>
      <c r="K777" s="3"/>
      <c r="L777" s="3"/>
      <c r="M777" s="3"/>
      <c r="N777" s="3"/>
      <c r="O777" s="3"/>
      <c r="P777" s="3"/>
      <c r="Q777" s="3"/>
    </row>
    <row r="778" ht="15.75" customHeight="1">
      <c r="A778" s="10">
        <v>777.0</v>
      </c>
      <c r="B778" s="3" t="s">
        <v>2335</v>
      </c>
      <c r="C778" s="3" t="s">
        <v>1214</v>
      </c>
      <c r="D778" s="11" t="s">
        <v>1014</v>
      </c>
      <c r="E778" s="10">
        <v>5.70056000506E11</v>
      </c>
      <c r="F778" s="3" t="s">
        <v>2336</v>
      </c>
      <c r="G778" s="3" t="s">
        <v>12</v>
      </c>
      <c r="H778" s="3" t="s">
        <v>70</v>
      </c>
      <c r="I778" s="3" t="s">
        <v>71</v>
      </c>
      <c r="J778" s="12" t="s">
        <v>89</v>
      </c>
      <c r="K778" s="3"/>
      <c r="L778" s="3"/>
      <c r="M778" s="3"/>
      <c r="N778" s="3"/>
      <c r="O778" s="3"/>
      <c r="P778" s="3"/>
      <c r="Q778" s="3"/>
    </row>
    <row r="779" ht="15.75" customHeight="1">
      <c r="A779" s="10">
        <v>778.0</v>
      </c>
      <c r="B779" s="3" t="s">
        <v>2337</v>
      </c>
      <c r="C779" s="3" t="s">
        <v>2338</v>
      </c>
      <c r="D779" s="11" t="s">
        <v>2339</v>
      </c>
      <c r="E779" s="10">
        <v>5.70056000367E11</v>
      </c>
      <c r="F779" s="3" t="s">
        <v>1175</v>
      </c>
      <c r="G779" s="3" t="s">
        <v>62</v>
      </c>
      <c r="H779" s="3" t="s">
        <v>70</v>
      </c>
      <c r="I779" s="3" t="s">
        <v>71</v>
      </c>
      <c r="J779" s="12" t="s">
        <v>89</v>
      </c>
      <c r="K779" s="3"/>
      <c r="L779" s="3"/>
      <c r="M779" s="3"/>
      <c r="N779" s="3"/>
      <c r="O779" s="3"/>
      <c r="P779" s="3"/>
      <c r="Q779" s="3"/>
    </row>
    <row r="780" ht="15.75" customHeight="1">
      <c r="A780" s="10">
        <v>779.0</v>
      </c>
      <c r="B780" s="3" t="s">
        <v>2233</v>
      </c>
      <c r="C780" s="3" t="s">
        <v>2340</v>
      </c>
      <c r="D780" s="11" t="s">
        <v>1992</v>
      </c>
      <c r="E780" s="10">
        <v>5.70056000407E11</v>
      </c>
      <c r="F780" s="3" t="s">
        <v>2341</v>
      </c>
      <c r="G780" s="3" t="s">
        <v>12</v>
      </c>
      <c r="H780" s="3" t="s">
        <v>70</v>
      </c>
      <c r="I780" s="3" t="s">
        <v>71</v>
      </c>
      <c r="J780" s="12" t="s">
        <v>89</v>
      </c>
      <c r="K780" s="3"/>
      <c r="L780" s="3"/>
      <c r="M780" s="3"/>
      <c r="N780" s="3"/>
      <c r="O780" s="3"/>
      <c r="P780" s="3"/>
      <c r="Q780" s="3"/>
    </row>
    <row r="781" ht="15.75" customHeight="1">
      <c r="A781" s="10">
        <v>780.0</v>
      </c>
      <c r="B781" s="3" t="s">
        <v>1973</v>
      </c>
      <c r="C781" s="3" t="s">
        <v>2342</v>
      </c>
      <c r="D781" s="11" t="s">
        <v>2343</v>
      </c>
      <c r="E781" s="10">
        <v>5.70056544634E11</v>
      </c>
      <c r="F781" s="3" t="s">
        <v>2344</v>
      </c>
      <c r="G781" s="3" t="s">
        <v>12</v>
      </c>
      <c r="H781" s="3" t="s">
        <v>70</v>
      </c>
      <c r="I781" s="3" t="s">
        <v>70</v>
      </c>
      <c r="J781" s="3" t="s">
        <v>71</v>
      </c>
      <c r="K781" s="3" t="s">
        <v>89</v>
      </c>
      <c r="L781" s="3"/>
      <c r="M781" s="3"/>
      <c r="N781" s="3"/>
      <c r="O781" s="3"/>
      <c r="P781" s="3"/>
      <c r="Q781" s="3"/>
    </row>
    <row r="782" ht="15.75" customHeight="1">
      <c r="A782" s="10">
        <v>781.0</v>
      </c>
      <c r="B782" s="3" t="s">
        <v>2156</v>
      </c>
      <c r="C782" s="3" t="s">
        <v>2345</v>
      </c>
      <c r="D782" s="11" t="s">
        <v>2346</v>
      </c>
      <c r="E782" s="10">
        <v>5.70056000507E11</v>
      </c>
      <c r="F782" s="3" t="s">
        <v>2347</v>
      </c>
      <c r="G782" s="3" t="s">
        <v>1433</v>
      </c>
      <c r="H782" s="3" t="s">
        <v>70</v>
      </c>
      <c r="I782" s="3" t="s">
        <v>71</v>
      </c>
      <c r="J782" s="12" t="s">
        <v>89</v>
      </c>
      <c r="K782" s="3"/>
      <c r="L782" s="3"/>
      <c r="M782" s="3"/>
      <c r="N782" s="3"/>
      <c r="O782" s="3"/>
      <c r="P782" s="3"/>
      <c r="Q782" s="3"/>
    </row>
    <row r="783" ht="15.75" customHeight="1">
      <c r="A783" s="10">
        <v>782.0</v>
      </c>
      <c r="B783" s="3" t="s">
        <v>2348</v>
      </c>
      <c r="C783" s="3" t="s">
        <v>304</v>
      </c>
      <c r="D783" s="11" t="s">
        <v>332</v>
      </c>
      <c r="E783" s="10">
        <v>5.70056544636E11</v>
      </c>
      <c r="F783" s="3" t="s">
        <v>2266</v>
      </c>
      <c r="G783" s="3" t="s">
        <v>197</v>
      </c>
      <c r="H783" s="10">
        <v>1253.0</v>
      </c>
      <c r="I783" s="3" t="s">
        <v>70</v>
      </c>
      <c r="J783" s="3" t="s">
        <v>71</v>
      </c>
      <c r="K783" s="3" t="s">
        <v>89</v>
      </c>
      <c r="L783" s="3"/>
      <c r="M783" s="3"/>
      <c r="N783" s="3"/>
      <c r="O783" s="3"/>
      <c r="P783" s="3"/>
      <c r="Q783" s="3"/>
    </row>
    <row r="784" ht="15.75" customHeight="1">
      <c r="A784" s="10">
        <v>783.0</v>
      </c>
      <c r="B784" s="3" t="s">
        <v>2349</v>
      </c>
      <c r="C784" s="3" t="s">
        <v>2350</v>
      </c>
      <c r="D784" s="11" t="s">
        <v>171</v>
      </c>
      <c r="E784" s="10">
        <v>5.70056544638E11</v>
      </c>
      <c r="F784" s="3" t="s">
        <v>2351</v>
      </c>
      <c r="G784" s="3" t="s">
        <v>651</v>
      </c>
      <c r="H784" s="3" t="s">
        <v>70</v>
      </c>
      <c r="I784" s="3" t="s">
        <v>71</v>
      </c>
      <c r="J784" s="12" t="s">
        <v>89</v>
      </c>
      <c r="K784" s="3"/>
      <c r="L784" s="3"/>
      <c r="M784" s="3"/>
      <c r="N784" s="3"/>
      <c r="O784" s="3"/>
      <c r="P784" s="3"/>
      <c r="Q784" s="3"/>
    </row>
    <row r="785" ht="15.75" customHeight="1">
      <c r="A785" s="10">
        <v>784.0</v>
      </c>
      <c r="B785" s="3" t="s">
        <v>2352</v>
      </c>
      <c r="C785" s="3" t="s">
        <v>213</v>
      </c>
      <c r="D785" s="11" t="s">
        <v>2353</v>
      </c>
      <c r="E785" s="10">
        <v>5.7005654464E11</v>
      </c>
      <c r="F785" s="3" t="s">
        <v>2354</v>
      </c>
      <c r="G785" s="3" t="s">
        <v>197</v>
      </c>
      <c r="H785" s="10">
        <v>150.0</v>
      </c>
      <c r="I785" s="3" t="s">
        <v>70</v>
      </c>
      <c r="J785" s="3" t="s">
        <v>71</v>
      </c>
      <c r="K785" s="3" t="s">
        <v>89</v>
      </c>
      <c r="L785" s="3"/>
      <c r="M785" s="3"/>
      <c r="N785" s="3"/>
      <c r="O785" s="3"/>
      <c r="P785" s="3"/>
      <c r="Q785" s="3"/>
    </row>
    <row r="786" ht="15.75" customHeight="1">
      <c r="A786" s="10">
        <v>785.0</v>
      </c>
      <c r="B786" s="3" t="s">
        <v>2355</v>
      </c>
      <c r="C786" s="3" t="s">
        <v>155</v>
      </c>
      <c r="D786" s="11" t="s">
        <v>156</v>
      </c>
      <c r="E786" s="10">
        <v>5.70056544641E11</v>
      </c>
      <c r="F786" s="3" t="s">
        <v>2356</v>
      </c>
      <c r="G786" s="3" t="s">
        <v>12</v>
      </c>
      <c r="H786" s="3" t="s">
        <v>70</v>
      </c>
      <c r="I786" s="3" t="s">
        <v>70</v>
      </c>
      <c r="J786" s="3" t="s">
        <v>71</v>
      </c>
      <c r="K786" s="3" t="s">
        <v>89</v>
      </c>
      <c r="L786" s="3"/>
      <c r="M786" s="3"/>
      <c r="N786" s="3"/>
      <c r="O786" s="3"/>
      <c r="P786" s="3"/>
      <c r="Q786" s="3"/>
    </row>
    <row r="787" ht="15.75" customHeight="1">
      <c r="A787" s="10">
        <v>786.0</v>
      </c>
      <c r="B787" s="3" t="s">
        <v>2357</v>
      </c>
      <c r="C787" s="3" t="s">
        <v>2358</v>
      </c>
      <c r="D787" s="11" t="s">
        <v>2359</v>
      </c>
      <c r="E787" s="10">
        <v>5.70056544642E11</v>
      </c>
      <c r="F787" s="3" t="s">
        <v>2360</v>
      </c>
      <c r="G787" s="3" t="s">
        <v>37</v>
      </c>
      <c r="H787" s="3" t="s">
        <v>70</v>
      </c>
      <c r="I787" s="3" t="s">
        <v>71</v>
      </c>
      <c r="J787" s="12" t="s">
        <v>89</v>
      </c>
      <c r="K787" s="3"/>
      <c r="L787" s="3"/>
      <c r="M787" s="3"/>
      <c r="N787" s="3"/>
      <c r="O787" s="3"/>
      <c r="P787" s="3"/>
      <c r="Q787" s="3"/>
    </row>
    <row r="788" ht="15.75" customHeight="1">
      <c r="A788" s="10">
        <v>787.0</v>
      </c>
      <c r="B788" s="3" t="s">
        <v>2361</v>
      </c>
      <c r="C788" s="3" t="s">
        <v>1131</v>
      </c>
      <c r="D788" s="11" t="s">
        <v>1014</v>
      </c>
      <c r="E788" s="10">
        <v>5.70056000045E11</v>
      </c>
      <c r="F788" s="3" t="s">
        <v>2362</v>
      </c>
      <c r="G788" s="3" t="s">
        <v>50</v>
      </c>
      <c r="H788" s="3" t="s">
        <v>70</v>
      </c>
      <c r="I788" s="3" t="s">
        <v>71</v>
      </c>
      <c r="J788" s="12" t="s">
        <v>89</v>
      </c>
      <c r="K788" s="3"/>
      <c r="L788" s="3"/>
      <c r="M788" s="3"/>
      <c r="N788" s="3"/>
      <c r="O788" s="3"/>
      <c r="P788" s="3"/>
      <c r="Q788" s="3"/>
    </row>
    <row r="789" ht="15.75" customHeight="1">
      <c r="A789" s="10">
        <v>788.0</v>
      </c>
      <c r="B789" s="3" t="s">
        <v>2363</v>
      </c>
      <c r="C789" s="3" t="s">
        <v>2364</v>
      </c>
      <c r="D789" s="11" t="s">
        <v>2365</v>
      </c>
      <c r="E789" s="10">
        <v>5.70056000509E11</v>
      </c>
      <c r="F789" s="3" t="s">
        <v>2366</v>
      </c>
      <c r="G789" s="3" t="s">
        <v>50</v>
      </c>
      <c r="H789" s="10">
        <v>940.0</v>
      </c>
      <c r="I789" s="3" t="s">
        <v>70</v>
      </c>
      <c r="J789" s="3" t="s">
        <v>71</v>
      </c>
      <c r="K789" s="3" t="s">
        <v>89</v>
      </c>
      <c r="L789" s="3"/>
      <c r="M789" s="3"/>
      <c r="N789" s="3"/>
      <c r="O789" s="3"/>
      <c r="P789" s="3"/>
      <c r="Q789" s="3"/>
    </row>
    <row r="790" ht="15.75" customHeight="1">
      <c r="A790" s="10">
        <v>789.0</v>
      </c>
      <c r="B790" s="3" t="s">
        <v>2367</v>
      </c>
      <c r="C790" s="3" t="s">
        <v>907</v>
      </c>
      <c r="D790" s="11" t="s">
        <v>2368</v>
      </c>
      <c r="E790" s="10">
        <v>5.7005600051E11</v>
      </c>
      <c r="F790" s="3" t="s">
        <v>2366</v>
      </c>
      <c r="G790" s="3" t="s">
        <v>50</v>
      </c>
      <c r="H790" s="10">
        <v>1160.0</v>
      </c>
      <c r="I790" s="3" t="s">
        <v>70</v>
      </c>
      <c r="J790" s="3" t="s">
        <v>71</v>
      </c>
      <c r="K790" s="3" t="s">
        <v>89</v>
      </c>
      <c r="L790" s="3"/>
      <c r="M790" s="3"/>
      <c r="N790" s="3"/>
      <c r="O790" s="3"/>
      <c r="P790" s="3"/>
      <c r="Q790" s="3"/>
    </row>
    <row r="791" ht="15.75" customHeight="1">
      <c r="A791" s="10">
        <v>790.0</v>
      </c>
      <c r="B791" s="3" t="s">
        <v>2369</v>
      </c>
      <c r="C791" s="3" t="s">
        <v>2370</v>
      </c>
      <c r="D791" s="11" t="s">
        <v>2371</v>
      </c>
      <c r="E791" s="10">
        <v>5.70056000512E11</v>
      </c>
      <c r="F791" s="3" t="s">
        <v>2372</v>
      </c>
      <c r="G791" s="3" t="s">
        <v>12</v>
      </c>
      <c r="H791" s="10">
        <v>278.0</v>
      </c>
      <c r="I791" s="3" t="s">
        <v>70</v>
      </c>
      <c r="J791" s="3" t="s">
        <v>71</v>
      </c>
      <c r="K791" s="3" t="s">
        <v>89</v>
      </c>
      <c r="L791" s="3"/>
      <c r="M791" s="3"/>
      <c r="N791" s="3"/>
      <c r="O791" s="3"/>
      <c r="P791" s="3"/>
      <c r="Q791" s="3"/>
    </row>
    <row r="792" ht="15.75" customHeight="1">
      <c r="A792" s="10">
        <v>791.0</v>
      </c>
      <c r="B792" s="3" t="s">
        <v>2089</v>
      </c>
      <c r="C792" s="3" t="s">
        <v>757</v>
      </c>
      <c r="D792" s="11" t="s">
        <v>2373</v>
      </c>
      <c r="E792" s="10">
        <v>5.70056000513E11</v>
      </c>
      <c r="F792" s="3" t="s">
        <v>2366</v>
      </c>
      <c r="G792" s="3" t="s">
        <v>50</v>
      </c>
      <c r="H792" s="10">
        <v>974.0</v>
      </c>
      <c r="I792" s="3" t="s">
        <v>70</v>
      </c>
      <c r="J792" s="3" t="s">
        <v>71</v>
      </c>
      <c r="K792" s="3" t="s">
        <v>89</v>
      </c>
      <c r="L792" s="3"/>
      <c r="M792" s="3"/>
      <c r="N792" s="3"/>
      <c r="O792" s="3"/>
      <c r="P792" s="3"/>
      <c r="Q792" s="3"/>
    </row>
    <row r="793" ht="15.75" customHeight="1">
      <c r="A793" s="10">
        <v>792.0</v>
      </c>
      <c r="B793" s="3" t="s">
        <v>2374</v>
      </c>
      <c r="C793" s="3" t="s">
        <v>945</v>
      </c>
      <c r="D793" s="11" t="s">
        <v>1828</v>
      </c>
      <c r="E793" s="10">
        <v>5.70056000516E11</v>
      </c>
      <c r="F793" s="3" t="s">
        <v>2366</v>
      </c>
      <c r="G793" s="3" t="s">
        <v>50</v>
      </c>
      <c r="H793" s="10">
        <v>1097.0</v>
      </c>
      <c r="I793" s="3" t="s">
        <v>70</v>
      </c>
      <c r="J793" s="3" t="s">
        <v>71</v>
      </c>
      <c r="K793" s="3" t="s">
        <v>89</v>
      </c>
      <c r="L793" s="3"/>
      <c r="M793" s="3"/>
      <c r="N793" s="3"/>
      <c r="O793" s="3"/>
      <c r="P793" s="3"/>
      <c r="Q793" s="3"/>
    </row>
    <row r="794" ht="15.75" customHeight="1">
      <c r="A794" s="10">
        <v>793.0</v>
      </c>
      <c r="B794" s="3" t="s">
        <v>2375</v>
      </c>
      <c r="C794" s="3" t="s">
        <v>710</v>
      </c>
      <c r="D794" s="11" t="s">
        <v>2376</v>
      </c>
      <c r="E794" s="10">
        <v>5.70056000518E11</v>
      </c>
      <c r="F794" s="3" t="s">
        <v>2377</v>
      </c>
      <c r="G794" s="3" t="s">
        <v>50</v>
      </c>
      <c r="H794" s="10">
        <v>1008.0</v>
      </c>
      <c r="I794" s="3" t="s">
        <v>70</v>
      </c>
      <c r="J794" s="3" t="s">
        <v>71</v>
      </c>
      <c r="K794" s="3" t="s">
        <v>89</v>
      </c>
      <c r="L794" s="3"/>
      <c r="M794" s="3"/>
      <c r="N794" s="3"/>
      <c r="O794" s="3"/>
      <c r="P794" s="3"/>
      <c r="Q794" s="3"/>
    </row>
    <row r="795" ht="15.75" customHeight="1">
      <c r="A795" s="10">
        <v>794.0</v>
      </c>
      <c r="B795" s="3" t="s">
        <v>2378</v>
      </c>
      <c r="C795" s="3" t="s">
        <v>2102</v>
      </c>
      <c r="D795" s="11" t="s">
        <v>2379</v>
      </c>
      <c r="E795" s="10">
        <v>5.70056000521E11</v>
      </c>
      <c r="F795" s="3" t="s">
        <v>2380</v>
      </c>
      <c r="G795" s="3" t="s">
        <v>50</v>
      </c>
      <c r="H795" s="3" t="s">
        <v>70</v>
      </c>
      <c r="I795" s="3" t="s">
        <v>71</v>
      </c>
      <c r="J795" s="12" t="s">
        <v>89</v>
      </c>
      <c r="K795" s="3"/>
      <c r="L795" s="3"/>
      <c r="M795" s="3"/>
      <c r="N795" s="3"/>
      <c r="O795" s="3"/>
      <c r="P795" s="3"/>
      <c r="Q795" s="3"/>
    </row>
    <row r="796" ht="15.75" customHeight="1">
      <c r="A796" s="10">
        <v>795.0</v>
      </c>
      <c r="B796" s="3" t="s">
        <v>2381</v>
      </c>
      <c r="C796" s="3" t="s">
        <v>2382</v>
      </c>
      <c r="D796" s="11" t="s">
        <v>2383</v>
      </c>
      <c r="E796" s="10">
        <v>5.70056000523E11</v>
      </c>
      <c r="F796" s="3" t="s">
        <v>2366</v>
      </c>
      <c r="G796" s="3" t="s">
        <v>50</v>
      </c>
      <c r="H796" s="3" t="s">
        <v>70</v>
      </c>
      <c r="I796" s="3" t="s">
        <v>71</v>
      </c>
      <c r="J796" s="12" t="s">
        <v>89</v>
      </c>
      <c r="K796" s="3"/>
      <c r="L796" s="3"/>
      <c r="M796" s="3"/>
      <c r="N796" s="3"/>
      <c r="O796" s="3"/>
      <c r="P796" s="3"/>
      <c r="Q796" s="3"/>
    </row>
    <row r="797" ht="15.75" customHeight="1">
      <c r="A797" s="10">
        <v>796.0</v>
      </c>
      <c r="B797" s="3" t="s">
        <v>2384</v>
      </c>
      <c r="C797" s="3" t="s">
        <v>945</v>
      </c>
      <c r="D797" s="11" t="s">
        <v>2385</v>
      </c>
      <c r="E797" s="10">
        <v>5.70056000531E11</v>
      </c>
      <c r="F797" s="3" t="s">
        <v>2386</v>
      </c>
      <c r="G797" s="3" t="s">
        <v>50</v>
      </c>
      <c r="H797" s="3" t="s">
        <v>70</v>
      </c>
      <c r="I797" s="3" t="s">
        <v>71</v>
      </c>
      <c r="J797" s="12" t="s">
        <v>89</v>
      </c>
      <c r="K797" s="3"/>
      <c r="L797" s="3"/>
      <c r="M797" s="3"/>
      <c r="N797" s="3"/>
      <c r="O797" s="3"/>
      <c r="P797" s="3"/>
      <c r="Q797" s="3"/>
    </row>
    <row r="798" ht="15.75" customHeight="1">
      <c r="A798" s="10">
        <v>797.0</v>
      </c>
      <c r="B798" s="3" t="s">
        <v>2387</v>
      </c>
      <c r="C798" s="3" t="s">
        <v>1278</v>
      </c>
      <c r="D798" s="11" t="s">
        <v>2388</v>
      </c>
      <c r="E798" s="10">
        <v>5.70056000532E11</v>
      </c>
      <c r="F798" s="3" t="s">
        <v>2389</v>
      </c>
      <c r="G798" s="3" t="s">
        <v>12</v>
      </c>
      <c r="H798" s="10">
        <v>791.0</v>
      </c>
      <c r="I798" s="3" t="s">
        <v>70</v>
      </c>
      <c r="J798" s="3" t="s">
        <v>71</v>
      </c>
      <c r="K798" s="3" t="s">
        <v>89</v>
      </c>
      <c r="L798" s="3"/>
      <c r="M798" s="3"/>
      <c r="N798" s="3"/>
      <c r="O798" s="3"/>
      <c r="P798" s="3"/>
      <c r="Q798" s="3"/>
    </row>
    <row r="799" ht="15.75" customHeight="1">
      <c r="A799" s="10">
        <v>798.0</v>
      </c>
      <c r="B799" s="3" t="s">
        <v>2390</v>
      </c>
      <c r="C799" s="3" t="s">
        <v>1862</v>
      </c>
      <c r="D799" s="11" t="s">
        <v>2391</v>
      </c>
      <c r="E799" s="10">
        <v>5.70056000535E11</v>
      </c>
      <c r="F799" s="3" t="s">
        <v>2392</v>
      </c>
      <c r="G799" s="3" t="s">
        <v>50</v>
      </c>
      <c r="H799" s="3" t="s">
        <v>70</v>
      </c>
      <c r="I799" s="3" t="s">
        <v>71</v>
      </c>
      <c r="J799" s="12" t="s">
        <v>89</v>
      </c>
      <c r="K799" s="3"/>
      <c r="L799" s="3"/>
      <c r="M799" s="3"/>
      <c r="N799" s="3"/>
      <c r="O799" s="3"/>
      <c r="P799" s="3"/>
      <c r="Q799" s="3"/>
    </row>
    <row r="800" ht="15.75" customHeight="1">
      <c r="A800" s="10">
        <v>799.0</v>
      </c>
      <c r="B800" s="3" t="s">
        <v>2393</v>
      </c>
      <c r="C800" s="3" t="s">
        <v>201</v>
      </c>
      <c r="D800" s="11" t="s">
        <v>2394</v>
      </c>
      <c r="E800" s="10">
        <v>5.70056000536E11</v>
      </c>
      <c r="F800" s="3" t="s">
        <v>2395</v>
      </c>
      <c r="G800" s="3" t="s">
        <v>50</v>
      </c>
      <c r="H800" s="10">
        <v>1264.0</v>
      </c>
      <c r="I800" s="3" t="s">
        <v>70</v>
      </c>
      <c r="J800" s="3" t="s">
        <v>71</v>
      </c>
      <c r="K800" s="3" t="s">
        <v>89</v>
      </c>
      <c r="L800" s="3"/>
      <c r="M800" s="3"/>
      <c r="N800" s="3"/>
      <c r="O800" s="3"/>
      <c r="P800" s="3"/>
      <c r="Q800" s="3"/>
    </row>
    <row r="801" ht="15.75" customHeight="1">
      <c r="A801" s="10">
        <v>800.0</v>
      </c>
      <c r="B801" s="3" t="s">
        <v>2089</v>
      </c>
      <c r="C801" s="3" t="s">
        <v>254</v>
      </c>
      <c r="D801" s="11" t="s">
        <v>2049</v>
      </c>
      <c r="E801" s="10">
        <v>5.70056000537E11</v>
      </c>
      <c r="F801" s="3" t="s">
        <v>2396</v>
      </c>
      <c r="G801" s="3" t="s">
        <v>50</v>
      </c>
      <c r="H801" s="10">
        <v>1075.0</v>
      </c>
      <c r="I801" s="3" t="s">
        <v>70</v>
      </c>
      <c r="J801" s="3" t="s">
        <v>71</v>
      </c>
      <c r="K801" s="3" t="s">
        <v>89</v>
      </c>
      <c r="L801" s="3"/>
      <c r="M801" s="3"/>
      <c r="N801" s="3"/>
      <c r="O801" s="3"/>
      <c r="P801" s="3"/>
      <c r="Q801" s="3"/>
    </row>
    <row r="802" ht="15.75" customHeight="1">
      <c r="A802" s="10">
        <v>801.0</v>
      </c>
      <c r="B802" s="3" t="s">
        <v>2397</v>
      </c>
      <c r="C802" s="3" t="s">
        <v>2398</v>
      </c>
      <c r="D802" s="11" t="s">
        <v>2399</v>
      </c>
      <c r="E802" s="10">
        <v>5.70056000542E11</v>
      </c>
      <c r="F802" s="3" t="s">
        <v>2400</v>
      </c>
      <c r="G802" s="3" t="s">
        <v>50</v>
      </c>
      <c r="H802" s="10">
        <v>1311.0</v>
      </c>
      <c r="I802" s="3" t="s">
        <v>70</v>
      </c>
      <c r="J802" s="3" t="s">
        <v>71</v>
      </c>
      <c r="K802" s="3" t="s">
        <v>89</v>
      </c>
      <c r="L802" s="3"/>
      <c r="M802" s="3"/>
      <c r="N802" s="3"/>
      <c r="O802" s="3"/>
      <c r="P802" s="3"/>
      <c r="Q802" s="3"/>
    </row>
    <row r="803" ht="15.75" customHeight="1">
      <c r="A803" s="10">
        <v>802.0</v>
      </c>
      <c r="B803" s="3" t="s">
        <v>2401</v>
      </c>
      <c r="C803" s="3" t="s">
        <v>141</v>
      </c>
      <c r="D803" s="11" t="s">
        <v>2402</v>
      </c>
      <c r="E803" s="10">
        <v>5.70056000545E11</v>
      </c>
      <c r="F803" s="3" t="s">
        <v>2403</v>
      </c>
      <c r="G803" s="3" t="s">
        <v>12</v>
      </c>
      <c r="H803" s="10">
        <v>1258.0</v>
      </c>
      <c r="I803" s="3" t="s">
        <v>70</v>
      </c>
      <c r="J803" s="3" t="s">
        <v>71</v>
      </c>
      <c r="K803" s="3" t="s">
        <v>89</v>
      </c>
      <c r="L803" s="3"/>
      <c r="M803" s="3"/>
      <c r="N803" s="3"/>
      <c r="O803" s="3"/>
      <c r="P803" s="3"/>
      <c r="Q803" s="3"/>
    </row>
    <row r="804" ht="15.75" customHeight="1">
      <c r="A804" s="10">
        <v>803.0</v>
      </c>
      <c r="B804" s="3" t="s">
        <v>2404</v>
      </c>
      <c r="C804" s="3" t="s">
        <v>914</v>
      </c>
      <c r="D804" s="11" t="s">
        <v>2405</v>
      </c>
      <c r="E804" s="10">
        <v>5.70056000546E11</v>
      </c>
      <c r="F804" s="3" t="s">
        <v>2406</v>
      </c>
      <c r="G804" s="3" t="s">
        <v>50</v>
      </c>
      <c r="H804" s="10">
        <v>1151.0</v>
      </c>
      <c r="I804" s="3" t="s">
        <v>70</v>
      </c>
      <c r="J804" s="3" t="s">
        <v>71</v>
      </c>
      <c r="K804" s="3" t="s">
        <v>89</v>
      </c>
      <c r="L804" s="3"/>
      <c r="M804" s="3"/>
      <c r="N804" s="3"/>
      <c r="O804" s="3"/>
      <c r="P804" s="3"/>
      <c r="Q804" s="3"/>
    </row>
    <row r="805" ht="15.75" customHeight="1">
      <c r="A805" s="10">
        <v>804.0</v>
      </c>
      <c r="B805" s="3" t="s">
        <v>2407</v>
      </c>
      <c r="C805" s="3" t="s">
        <v>2408</v>
      </c>
      <c r="D805" s="11" t="s">
        <v>2409</v>
      </c>
      <c r="E805" s="10">
        <v>5.70056544645E11</v>
      </c>
      <c r="F805" s="3" t="s">
        <v>2410</v>
      </c>
      <c r="G805" s="3" t="s">
        <v>197</v>
      </c>
      <c r="H805" s="3" t="s">
        <v>70</v>
      </c>
      <c r="I805" s="3" t="s">
        <v>71</v>
      </c>
      <c r="J805" s="12" t="s">
        <v>89</v>
      </c>
      <c r="K805" s="3"/>
      <c r="L805" s="3"/>
      <c r="M805" s="3"/>
      <c r="N805" s="3"/>
      <c r="O805" s="3"/>
      <c r="P805" s="3"/>
      <c r="Q805" s="3"/>
    </row>
    <row r="806" ht="15.75" customHeight="1">
      <c r="A806" s="10">
        <v>805.0</v>
      </c>
      <c r="B806" s="3" t="s">
        <v>2411</v>
      </c>
      <c r="C806" s="3" t="s">
        <v>324</v>
      </c>
      <c r="D806" s="11" t="s">
        <v>2277</v>
      </c>
      <c r="E806" s="10">
        <v>5.70056544647E11</v>
      </c>
      <c r="F806" s="3" t="s">
        <v>2412</v>
      </c>
      <c r="G806" s="3" t="s">
        <v>50</v>
      </c>
      <c r="H806" s="3" t="s">
        <v>70</v>
      </c>
      <c r="I806" s="3" t="s">
        <v>71</v>
      </c>
      <c r="J806" s="12" t="s">
        <v>89</v>
      </c>
      <c r="K806" s="3"/>
      <c r="L806" s="3"/>
      <c r="M806" s="3"/>
      <c r="N806" s="3"/>
      <c r="O806" s="3"/>
      <c r="P806" s="3"/>
      <c r="Q806" s="3"/>
    </row>
    <row r="807" ht="15.75" customHeight="1">
      <c r="A807" s="10">
        <v>806.0</v>
      </c>
      <c r="B807" s="3" t="s">
        <v>2086</v>
      </c>
      <c r="C807" s="3" t="s">
        <v>2413</v>
      </c>
      <c r="D807" s="11" t="s">
        <v>2414</v>
      </c>
      <c r="E807" s="10">
        <v>5.70056544648E11</v>
      </c>
      <c r="F807" s="3" t="s">
        <v>2415</v>
      </c>
      <c r="G807" s="3" t="s">
        <v>197</v>
      </c>
      <c r="H807" s="3" t="s">
        <v>70</v>
      </c>
      <c r="I807" s="3" t="s">
        <v>71</v>
      </c>
      <c r="J807" s="12" t="s">
        <v>89</v>
      </c>
      <c r="K807" s="3"/>
      <c r="L807" s="3"/>
      <c r="M807" s="3"/>
      <c r="N807" s="3"/>
      <c r="O807" s="3"/>
      <c r="P807" s="3"/>
      <c r="Q807" s="3"/>
    </row>
    <row r="808" ht="15.75" customHeight="1">
      <c r="A808" s="10">
        <v>807.0</v>
      </c>
      <c r="B808" s="3" t="s">
        <v>2416</v>
      </c>
      <c r="C808" s="3" t="s">
        <v>109</v>
      </c>
      <c r="D808" s="11" t="s">
        <v>2049</v>
      </c>
      <c r="E808" s="10">
        <v>5.70056544649E11</v>
      </c>
      <c r="F808" s="3" t="s">
        <v>2417</v>
      </c>
      <c r="G808" s="3" t="s">
        <v>50</v>
      </c>
      <c r="H808" s="10">
        <v>1261.0</v>
      </c>
      <c r="I808" s="3" t="s">
        <v>70</v>
      </c>
      <c r="J808" s="3" t="s">
        <v>71</v>
      </c>
      <c r="K808" s="3" t="s">
        <v>89</v>
      </c>
      <c r="L808" s="3"/>
      <c r="M808" s="3"/>
      <c r="N808" s="3"/>
      <c r="O808" s="3"/>
      <c r="P808" s="3"/>
      <c r="Q808" s="3"/>
    </row>
    <row r="809" ht="15.75" customHeight="1">
      <c r="A809" s="10">
        <v>808.0</v>
      </c>
      <c r="B809" s="3" t="s">
        <v>2418</v>
      </c>
      <c r="C809" s="3" t="s">
        <v>2118</v>
      </c>
      <c r="D809" s="11" t="s">
        <v>2419</v>
      </c>
      <c r="E809" s="10">
        <v>5.70056544651E11</v>
      </c>
      <c r="F809" s="3" t="s">
        <v>2420</v>
      </c>
      <c r="G809" s="3" t="s">
        <v>37</v>
      </c>
      <c r="H809" s="3" t="s">
        <v>70</v>
      </c>
      <c r="I809" s="3" t="s">
        <v>71</v>
      </c>
      <c r="J809" s="12" t="s">
        <v>89</v>
      </c>
      <c r="K809" s="3"/>
      <c r="L809" s="3"/>
      <c r="M809" s="3"/>
      <c r="N809" s="3"/>
      <c r="O809" s="3"/>
      <c r="P809" s="3"/>
      <c r="Q809" s="3"/>
    </row>
    <row r="810" ht="15.75" customHeight="1">
      <c r="A810" s="10">
        <v>809.0</v>
      </c>
      <c r="B810" s="3" t="s">
        <v>2421</v>
      </c>
      <c r="C810" s="3" t="s">
        <v>2422</v>
      </c>
      <c r="D810" s="11" t="s">
        <v>2423</v>
      </c>
      <c r="E810" s="10">
        <v>5.70056544652E11</v>
      </c>
      <c r="F810" s="3" t="s">
        <v>2424</v>
      </c>
      <c r="G810" s="3" t="s">
        <v>1963</v>
      </c>
      <c r="H810" s="12" t="s">
        <v>2425</v>
      </c>
      <c r="I810" s="3"/>
      <c r="J810" s="3"/>
      <c r="K810" s="3" t="s">
        <v>89</v>
      </c>
      <c r="L810" s="3"/>
      <c r="M810" s="3"/>
      <c r="N810" s="3"/>
      <c r="O810" s="3"/>
      <c r="P810" s="3"/>
      <c r="Q810" s="3"/>
    </row>
    <row r="811" ht="15.75" customHeight="1">
      <c r="A811" s="10">
        <v>810.0</v>
      </c>
      <c r="B811" s="3" t="s">
        <v>1875</v>
      </c>
      <c r="C811" s="3" t="s">
        <v>133</v>
      </c>
      <c r="D811" s="11" t="s">
        <v>1414</v>
      </c>
      <c r="E811" s="10">
        <v>5.70056544653E11</v>
      </c>
      <c r="F811" s="3" t="s">
        <v>2426</v>
      </c>
      <c r="G811" s="3" t="s">
        <v>197</v>
      </c>
      <c r="H811" s="12" t="s">
        <v>2425</v>
      </c>
      <c r="I811" s="3"/>
      <c r="J811" s="3"/>
      <c r="K811" s="3" t="s">
        <v>89</v>
      </c>
      <c r="L811" s="3"/>
      <c r="M811" s="3"/>
      <c r="N811" s="3"/>
      <c r="O811" s="3"/>
      <c r="P811" s="3"/>
      <c r="Q811" s="3"/>
    </row>
    <row r="812" ht="15.75" customHeight="1">
      <c r="A812" s="10">
        <v>811.0</v>
      </c>
      <c r="B812" s="3" t="s">
        <v>2427</v>
      </c>
      <c r="C812" s="3" t="s">
        <v>154</v>
      </c>
      <c r="D812" s="11" t="s">
        <v>2257</v>
      </c>
      <c r="E812" s="10">
        <v>5.70056544654E11</v>
      </c>
      <c r="F812" s="3" t="s">
        <v>2428</v>
      </c>
      <c r="G812" s="3" t="s">
        <v>50</v>
      </c>
      <c r="H812" s="12" t="s">
        <v>2425</v>
      </c>
      <c r="I812" s="3"/>
      <c r="J812" s="3"/>
      <c r="K812" s="3" t="s">
        <v>89</v>
      </c>
      <c r="L812" s="3"/>
      <c r="M812" s="3"/>
      <c r="N812" s="3"/>
      <c r="O812" s="3"/>
      <c r="P812" s="3"/>
      <c r="Q812" s="3"/>
    </row>
    <row r="813" ht="15.75" customHeight="1">
      <c r="A813" s="10">
        <v>812.0</v>
      </c>
      <c r="B813" s="3" t="s">
        <v>2429</v>
      </c>
      <c r="C813" s="3" t="s">
        <v>928</v>
      </c>
      <c r="D813" s="11" t="s">
        <v>2430</v>
      </c>
      <c r="E813" s="10">
        <v>5.70056544655E11</v>
      </c>
      <c r="F813" s="3" t="s">
        <v>2155</v>
      </c>
      <c r="G813" s="3" t="s">
        <v>197</v>
      </c>
      <c r="H813" s="12" t="s">
        <v>2431</v>
      </c>
      <c r="I813" s="3"/>
      <c r="J813" s="3"/>
      <c r="K813" s="3"/>
      <c r="L813" s="3"/>
      <c r="M813" s="3"/>
      <c r="N813" s="3"/>
      <c r="O813" s="3"/>
      <c r="P813" s="3"/>
      <c r="Q813" s="3"/>
    </row>
    <row r="814" ht="15.75" customHeight="1">
      <c r="A814" s="10">
        <v>813.0</v>
      </c>
      <c r="B814" s="3" t="s">
        <v>2432</v>
      </c>
      <c r="C814" s="3" t="s">
        <v>38</v>
      </c>
      <c r="D814" s="11" t="s">
        <v>2433</v>
      </c>
      <c r="E814" s="10">
        <v>5.70056544656E11</v>
      </c>
      <c r="F814" s="3" t="s">
        <v>2434</v>
      </c>
      <c r="G814" s="3" t="s">
        <v>12</v>
      </c>
      <c r="H814" s="12" t="s">
        <v>2425</v>
      </c>
      <c r="I814" s="3"/>
      <c r="J814" s="3"/>
      <c r="K814" s="3"/>
      <c r="L814" s="3"/>
      <c r="M814" s="3"/>
      <c r="N814" s="3"/>
      <c r="O814" s="3"/>
      <c r="P814" s="3"/>
      <c r="Q814" s="3"/>
    </row>
    <row r="815" ht="15.75" customHeight="1">
      <c r="A815" s="10">
        <v>814.0</v>
      </c>
      <c r="B815" s="3" t="s">
        <v>2177</v>
      </c>
      <c r="C815" s="3" t="s">
        <v>521</v>
      </c>
      <c r="D815" s="11" t="s">
        <v>2435</v>
      </c>
      <c r="E815" s="10">
        <v>5.70056544657E11</v>
      </c>
      <c r="F815" s="3" t="s">
        <v>2436</v>
      </c>
      <c r="G815" s="3" t="s">
        <v>50</v>
      </c>
      <c r="H815" s="12" t="s">
        <v>2437</v>
      </c>
      <c r="I815" s="3"/>
      <c r="J815" s="3"/>
      <c r="K815" s="3" t="s">
        <v>89</v>
      </c>
      <c r="L815" s="3"/>
      <c r="M815" s="3"/>
      <c r="N815" s="3"/>
      <c r="O815" s="3"/>
      <c r="P815" s="3"/>
      <c r="Q815" s="3"/>
    </row>
    <row r="816" ht="15.75" customHeight="1">
      <c r="A816" s="10">
        <v>815.0</v>
      </c>
      <c r="B816" s="3" t="s">
        <v>2378</v>
      </c>
      <c r="C816" s="3" t="s">
        <v>55</v>
      </c>
      <c r="D816" s="11" t="s">
        <v>2438</v>
      </c>
      <c r="E816" s="10">
        <v>5.70056544658E11</v>
      </c>
      <c r="F816" s="3" t="s">
        <v>2439</v>
      </c>
      <c r="G816" s="3" t="s">
        <v>197</v>
      </c>
      <c r="H816" s="12" t="s">
        <v>2425</v>
      </c>
      <c r="I816" s="3"/>
      <c r="J816" s="3"/>
      <c r="K816" s="3" t="s">
        <v>89</v>
      </c>
      <c r="L816" s="3"/>
      <c r="M816" s="3"/>
      <c r="N816" s="3"/>
      <c r="O816" s="3"/>
      <c r="P816" s="3"/>
      <c r="Q816" s="3"/>
    </row>
    <row r="817" ht="15.75" customHeight="1">
      <c r="A817" s="10">
        <v>816.0</v>
      </c>
      <c r="B817" s="3" t="s">
        <v>2440</v>
      </c>
      <c r="C817" s="3" t="s">
        <v>872</v>
      </c>
      <c r="D817" s="11" t="s">
        <v>2441</v>
      </c>
      <c r="E817" s="10">
        <v>5.70056544659E11</v>
      </c>
      <c r="F817" s="3" t="s">
        <v>2442</v>
      </c>
      <c r="G817" s="3" t="s">
        <v>12</v>
      </c>
      <c r="H817" s="12" t="s">
        <v>2443</v>
      </c>
      <c r="I817" s="3"/>
      <c r="J817" s="3"/>
      <c r="K817" s="3"/>
      <c r="L817" s="3"/>
      <c r="M817" s="3"/>
      <c r="N817" s="3"/>
      <c r="O817" s="3"/>
      <c r="P817" s="3"/>
      <c r="Q817" s="3"/>
    </row>
    <row r="818" ht="15.75" customHeight="1">
      <c r="A818" s="10">
        <v>817.0</v>
      </c>
      <c r="B818" s="3" t="s">
        <v>2444</v>
      </c>
      <c r="C818" s="3" t="s">
        <v>888</v>
      </c>
      <c r="D818" s="11" t="s">
        <v>2242</v>
      </c>
      <c r="E818" s="10">
        <v>5.7005654466E11</v>
      </c>
      <c r="F818" s="3" t="s">
        <v>2445</v>
      </c>
      <c r="G818" s="3" t="s">
        <v>12</v>
      </c>
      <c r="H818" s="12" t="s">
        <v>2446</v>
      </c>
      <c r="I818" s="3"/>
      <c r="J818" s="3"/>
      <c r="K818" s="3" t="s">
        <v>89</v>
      </c>
      <c r="L818" s="3"/>
      <c r="M818" s="3"/>
      <c r="N818" s="3"/>
      <c r="O818" s="3"/>
      <c r="P818" s="3"/>
      <c r="Q818" s="3"/>
    </row>
    <row r="819" ht="15.75" customHeight="1">
      <c r="A819" s="10">
        <v>818.0</v>
      </c>
      <c r="B819" s="3" t="s">
        <v>2447</v>
      </c>
      <c r="C819" s="3" t="s">
        <v>51</v>
      </c>
      <c r="D819" s="11" t="s">
        <v>2448</v>
      </c>
      <c r="E819" s="10">
        <v>5.70056544662E11</v>
      </c>
      <c r="F819" s="3" t="s">
        <v>2449</v>
      </c>
      <c r="G819" s="3" t="s">
        <v>12</v>
      </c>
      <c r="H819" s="12" t="s">
        <v>2450</v>
      </c>
      <c r="I819" s="3"/>
      <c r="J819" s="3"/>
      <c r="K819" s="3" t="s">
        <v>89</v>
      </c>
      <c r="L819" s="3"/>
      <c r="M819" s="3"/>
      <c r="N819" s="3"/>
      <c r="O819" s="3"/>
      <c r="P819" s="3"/>
      <c r="Q819" s="3"/>
    </row>
    <row r="820" ht="15.75" customHeight="1">
      <c r="A820" s="10">
        <v>819.0</v>
      </c>
      <c r="B820" s="3" t="s">
        <v>2004</v>
      </c>
      <c r="C820" s="3" t="s">
        <v>300</v>
      </c>
      <c r="D820" s="11" t="s">
        <v>211</v>
      </c>
      <c r="E820" s="10">
        <v>5.70056544663E11</v>
      </c>
      <c r="F820" s="3" t="s">
        <v>2155</v>
      </c>
      <c r="G820" s="3" t="s">
        <v>12</v>
      </c>
      <c r="H820" s="12" t="s">
        <v>2425</v>
      </c>
      <c r="I820" s="3"/>
      <c r="J820" s="3"/>
      <c r="K820" s="3"/>
      <c r="L820" s="3"/>
      <c r="M820" s="3"/>
      <c r="N820" s="3"/>
      <c r="O820" s="3"/>
      <c r="P820" s="3"/>
      <c r="Q820" s="3"/>
    </row>
    <row r="821" ht="15.75" customHeight="1">
      <c r="A821" s="10">
        <v>820.0</v>
      </c>
      <c r="B821" s="3" t="s">
        <v>2451</v>
      </c>
      <c r="C821" s="3" t="s">
        <v>201</v>
      </c>
      <c r="D821" s="11" t="s">
        <v>2452</v>
      </c>
      <c r="E821" s="10">
        <v>5.70056544664E11</v>
      </c>
      <c r="F821" s="3" t="s">
        <v>2453</v>
      </c>
      <c r="G821" s="3" t="s">
        <v>50</v>
      </c>
      <c r="H821" s="12" t="s">
        <v>2425</v>
      </c>
      <c r="I821" s="3"/>
      <c r="J821" s="3"/>
      <c r="K821" s="3"/>
      <c r="L821" s="3"/>
      <c r="M821" s="3"/>
      <c r="N821" s="3"/>
      <c r="O821" s="3"/>
      <c r="P821" s="3"/>
      <c r="Q821" s="3"/>
    </row>
    <row r="822" ht="15.75" customHeight="1">
      <c r="A822" s="10">
        <v>821.0</v>
      </c>
      <c r="B822" s="3" t="s">
        <v>2454</v>
      </c>
      <c r="C822" s="3" t="s">
        <v>1028</v>
      </c>
      <c r="D822" s="11" t="s">
        <v>1038</v>
      </c>
      <c r="E822" s="10">
        <v>5.70056544665E11</v>
      </c>
      <c r="F822" s="3" t="s">
        <v>2085</v>
      </c>
      <c r="G822" s="3" t="s">
        <v>12</v>
      </c>
      <c r="H822" s="12" t="s">
        <v>2455</v>
      </c>
      <c r="I822" s="3"/>
      <c r="J822" s="3"/>
      <c r="K822" s="3" t="s">
        <v>89</v>
      </c>
      <c r="L822" s="3"/>
      <c r="M822" s="3"/>
      <c r="N822" s="3"/>
      <c r="O822" s="3"/>
      <c r="P822" s="3"/>
      <c r="Q822" s="3"/>
    </row>
    <row r="823" ht="15.75" customHeight="1">
      <c r="A823" s="10">
        <v>822.0</v>
      </c>
      <c r="B823" s="3" t="s">
        <v>2378</v>
      </c>
      <c r="C823" s="3" t="s">
        <v>495</v>
      </c>
      <c r="D823" s="11" t="s">
        <v>2456</v>
      </c>
      <c r="E823" s="10">
        <v>5.70056544667E11</v>
      </c>
      <c r="F823" s="3" t="s">
        <v>2248</v>
      </c>
      <c r="G823" s="3" t="s">
        <v>12</v>
      </c>
      <c r="H823" s="12" t="s">
        <v>2457</v>
      </c>
      <c r="I823" s="3"/>
      <c r="J823" s="3"/>
      <c r="K823" s="3"/>
      <c r="L823" s="3"/>
      <c r="M823" s="3"/>
      <c r="N823" s="3"/>
      <c r="O823" s="3"/>
      <c r="P823" s="3"/>
      <c r="Q823" s="3"/>
    </row>
    <row r="824" ht="15.75" customHeight="1">
      <c r="A824" s="10">
        <v>823.0</v>
      </c>
      <c r="B824" s="3" t="s">
        <v>2458</v>
      </c>
      <c r="C824" s="3" t="s">
        <v>612</v>
      </c>
      <c r="D824" s="11" t="s">
        <v>2459</v>
      </c>
      <c r="E824" s="10">
        <v>5.7005654467E11</v>
      </c>
      <c r="F824" s="3" t="s">
        <v>2460</v>
      </c>
      <c r="G824" s="3" t="s">
        <v>12</v>
      </c>
      <c r="H824" s="12" t="s">
        <v>2425</v>
      </c>
      <c r="I824" s="3"/>
      <c r="J824" s="3"/>
      <c r="K824" s="3"/>
      <c r="L824" s="3"/>
      <c r="M824" s="3"/>
      <c r="N824" s="3"/>
      <c r="O824" s="3"/>
      <c r="P824" s="3"/>
      <c r="Q824" s="3"/>
    </row>
    <row r="825" ht="15.75" customHeight="1">
      <c r="A825" s="10">
        <v>824.0</v>
      </c>
      <c r="B825" s="3" t="s">
        <v>2461</v>
      </c>
      <c r="C825" s="3" t="s">
        <v>76</v>
      </c>
      <c r="D825" s="11" t="s">
        <v>2462</v>
      </c>
      <c r="E825" s="10">
        <v>5.70056544674E11</v>
      </c>
      <c r="F825" s="3" t="s">
        <v>2463</v>
      </c>
      <c r="G825" s="3" t="s">
        <v>12</v>
      </c>
      <c r="H825" s="12" t="s">
        <v>2464</v>
      </c>
      <c r="I825" s="3"/>
      <c r="J825" s="3"/>
      <c r="K825" s="3"/>
      <c r="L825" s="3"/>
      <c r="M825" s="3"/>
      <c r="N825" s="3"/>
      <c r="O825" s="3"/>
      <c r="P825" s="3"/>
      <c r="Q825" s="3"/>
    </row>
    <row r="826" ht="15.75" customHeight="1">
      <c r="A826" s="10">
        <v>825.0</v>
      </c>
      <c r="B826" s="3" t="s">
        <v>2465</v>
      </c>
      <c r="C826" s="3" t="s">
        <v>2466</v>
      </c>
      <c r="D826" s="11" t="s">
        <v>2467</v>
      </c>
      <c r="E826" s="10">
        <v>5.70056544676E11</v>
      </c>
      <c r="F826" s="3" t="s">
        <v>2468</v>
      </c>
      <c r="G826" s="3" t="s">
        <v>27</v>
      </c>
      <c r="H826" s="12" t="s">
        <v>2469</v>
      </c>
      <c r="I826" s="3"/>
      <c r="J826" s="3"/>
      <c r="K826" s="3"/>
      <c r="L826" s="3"/>
      <c r="M826" s="3"/>
      <c r="N826" s="3"/>
      <c r="O826" s="3"/>
      <c r="P826" s="3"/>
      <c r="Q826" s="3"/>
    </row>
    <row r="827" ht="15.75" customHeight="1">
      <c r="A827" s="10">
        <v>826.0</v>
      </c>
      <c r="B827" s="3" t="s">
        <v>201</v>
      </c>
      <c r="C827" s="3" t="s">
        <v>465</v>
      </c>
      <c r="D827" s="11" t="s">
        <v>466</v>
      </c>
      <c r="E827" s="10">
        <v>5.70056544677E11</v>
      </c>
      <c r="F827" s="3" t="s">
        <v>2470</v>
      </c>
      <c r="G827" s="3" t="s">
        <v>197</v>
      </c>
      <c r="H827" s="12" t="s">
        <v>2425</v>
      </c>
      <c r="I827" s="3"/>
      <c r="J827" s="3"/>
      <c r="K827" s="3"/>
      <c r="L827" s="3"/>
      <c r="M827" s="3"/>
      <c r="N827" s="3"/>
      <c r="O827" s="3"/>
      <c r="P827" s="3"/>
      <c r="Q827" s="3"/>
    </row>
    <row r="828" ht="15.75" customHeight="1">
      <c r="A828" s="10">
        <v>827.0</v>
      </c>
      <c r="B828" s="3" t="s">
        <v>2471</v>
      </c>
      <c r="C828" s="3" t="s">
        <v>633</v>
      </c>
      <c r="D828" s="11" t="s">
        <v>2472</v>
      </c>
      <c r="E828" s="10">
        <v>5.70056544679E11</v>
      </c>
      <c r="F828" s="3" t="s">
        <v>2155</v>
      </c>
      <c r="G828" s="3" t="s">
        <v>50</v>
      </c>
      <c r="H828" s="12" t="s">
        <v>2425</v>
      </c>
      <c r="I828" s="3"/>
      <c r="J828" s="3"/>
      <c r="K828" s="3"/>
      <c r="L828" s="3"/>
      <c r="M828" s="3"/>
      <c r="N828" s="3"/>
      <c r="O828" s="3"/>
      <c r="P828" s="3"/>
      <c r="Q828" s="3"/>
    </row>
    <row r="829" ht="15.75" customHeight="1">
      <c r="A829" s="10">
        <v>828.0</v>
      </c>
      <c r="B829" s="3" t="s">
        <v>2473</v>
      </c>
      <c r="C829" s="3" t="s">
        <v>327</v>
      </c>
      <c r="D829" s="11" t="s">
        <v>1293</v>
      </c>
      <c r="E829" s="10">
        <v>5.70056544684E11</v>
      </c>
      <c r="F829" s="3" t="s">
        <v>2474</v>
      </c>
      <c r="G829" s="3" t="s">
        <v>12</v>
      </c>
      <c r="H829" s="12" t="s">
        <v>2475</v>
      </c>
      <c r="I829" s="3"/>
      <c r="J829" s="3"/>
      <c r="K829" s="3"/>
      <c r="L829" s="3"/>
      <c r="M829" s="3"/>
      <c r="N829" s="3"/>
      <c r="O829" s="3"/>
      <c r="P829" s="3"/>
      <c r="Q829" s="3"/>
    </row>
    <row r="830" ht="15.75" customHeight="1">
      <c r="A830" s="10">
        <v>829.0</v>
      </c>
      <c r="B830" s="3" t="s">
        <v>2476</v>
      </c>
      <c r="C830" s="3" t="s">
        <v>2466</v>
      </c>
      <c r="D830" s="11" t="s">
        <v>2477</v>
      </c>
      <c r="E830" s="10">
        <v>5.70056544685E11</v>
      </c>
      <c r="F830" s="3" t="s">
        <v>2478</v>
      </c>
      <c r="G830" s="3" t="s">
        <v>1963</v>
      </c>
      <c r="H830" s="12" t="s">
        <v>2425</v>
      </c>
      <c r="I830" s="3"/>
      <c r="J830" s="3"/>
      <c r="K830" s="3"/>
      <c r="L830" s="3"/>
      <c r="M830" s="3"/>
      <c r="N830" s="3"/>
      <c r="O830" s="3"/>
      <c r="P830" s="3"/>
      <c r="Q830" s="3"/>
    </row>
    <row r="831" ht="15.75" customHeight="1">
      <c r="A831" s="10">
        <v>830.0</v>
      </c>
      <c r="B831" s="3" t="s">
        <v>2479</v>
      </c>
      <c r="C831" s="3" t="s">
        <v>825</v>
      </c>
      <c r="D831" s="11" t="s">
        <v>2480</v>
      </c>
      <c r="E831" s="10">
        <v>5.70056544686E11</v>
      </c>
      <c r="F831" s="3" t="s">
        <v>2266</v>
      </c>
      <c r="G831" s="3" t="s">
        <v>12</v>
      </c>
      <c r="H831" s="12" t="s">
        <v>2425</v>
      </c>
      <c r="I831" s="3"/>
      <c r="J831" s="3"/>
      <c r="K831" s="3" t="s">
        <v>89</v>
      </c>
      <c r="L831" s="3"/>
      <c r="M831" s="3"/>
      <c r="N831" s="3"/>
      <c r="O831" s="3"/>
      <c r="P831" s="3"/>
      <c r="Q831" s="3"/>
    </row>
    <row r="832" ht="15.75" customHeight="1">
      <c r="A832" s="10">
        <v>831.0</v>
      </c>
      <c r="B832" s="3" t="s">
        <v>2481</v>
      </c>
      <c r="C832" s="3" t="s">
        <v>205</v>
      </c>
      <c r="D832" s="11" t="s">
        <v>2482</v>
      </c>
      <c r="E832" s="10">
        <v>5.70056544687E11</v>
      </c>
      <c r="F832" s="3" t="s">
        <v>2483</v>
      </c>
      <c r="G832" s="3" t="s">
        <v>27</v>
      </c>
      <c r="H832" s="12" t="s">
        <v>2425</v>
      </c>
      <c r="I832" s="3"/>
      <c r="J832" s="3"/>
      <c r="K832" s="3"/>
      <c r="L832" s="3"/>
      <c r="M832" s="3"/>
      <c r="N832" s="3"/>
      <c r="O832" s="3"/>
      <c r="P832" s="3"/>
      <c r="Q832" s="3"/>
    </row>
    <row r="833" ht="15.75" customHeight="1">
      <c r="A833" s="10">
        <v>832.0</v>
      </c>
      <c r="B833" s="3" t="s">
        <v>2484</v>
      </c>
      <c r="C833" s="3" t="s">
        <v>2485</v>
      </c>
      <c r="D833" s="11" t="s">
        <v>2472</v>
      </c>
      <c r="E833" s="10">
        <v>5.70056544688E11</v>
      </c>
      <c r="F833" s="3" t="s">
        <v>2486</v>
      </c>
      <c r="G833" s="3" t="s">
        <v>12</v>
      </c>
      <c r="H833" s="12" t="s">
        <v>2425</v>
      </c>
      <c r="I833" s="3"/>
      <c r="J833" s="3"/>
      <c r="K833" s="3"/>
      <c r="L833" s="3"/>
      <c r="M833" s="3"/>
      <c r="N833" s="3"/>
      <c r="O833" s="3"/>
      <c r="P833" s="3"/>
      <c r="Q833" s="3"/>
    </row>
    <row r="834" ht="15.75" customHeight="1">
      <c r="A834" s="10">
        <v>833.0</v>
      </c>
      <c r="B834" s="3" t="s">
        <v>2487</v>
      </c>
      <c r="C834" s="3" t="s">
        <v>2488</v>
      </c>
      <c r="D834" s="11" t="s">
        <v>2489</v>
      </c>
      <c r="E834" s="10">
        <v>5.70056544689E11</v>
      </c>
      <c r="F834" s="3" t="s">
        <v>2490</v>
      </c>
      <c r="G834" s="3" t="s">
        <v>50</v>
      </c>
      <c r="H834" s="12" t="s">
        <v>2425</v>
      </c>
      <c r="I834" s="3"/>
      <c r="J834" s="3"/>
      <c r="K834" s="3"/>
      <c r="L834" s="3"/>
      <c r="M834" s="3"/>
      <c r="N834" s="3"/>
      <c r="O834" s="3"/>
      <c r="P834" s="3"/>
      <c r="Q834" s="3"/>
    </row>
    <row r="835" ht="15.75" customHeight="1">
      <c r="A835" s="10">
        <v>834.0</v>
      </c>
      <c r="B835" s="3" t="s">
        <v>2491</v>
      </c>
      <c r="C835" s="3" t="s">
        <v>2492</v>
      </c>
      <c r="D835" s="11" t="s">
        <v>2493</v>
      </c>
      <c r="E835" s="10">
        <v>5.7005654469E11</v>
      </c>
      <c r="F835" s="3" t="s">
        <v>2494</v>
      </c>
      <c r="G835" s="3" t="s">
        <v>50</v>
      </c>
      <c r="H835" s="12" t="s">
        <v>2425</v>
      </c>
      <c r="I835" s="3"/>
      <c r="J835" s="3"/>
      <c r="K835" s="3"/>
      <c r="L835" s="3"/>
      <c r="M835" s="3"/>
      <c r="N835" s="3"/>
      <c r="O835" s="3"/>
      <c r="P835" s="3"/>
      <c r="Q835" s="3"/>
    </row>
    <row r="836" ht="15.75" customHeight="1">
      <c r="A836" s="10">
        <v>835.0</v>
      </c>
      <c r="B836" s="3" t="s">
        <v>2495</v>
      </c>
      <c r="C836" s="3" t="s">
        <v>687</v>
      </c>
      <c r="D836" s="11" t="s">
        <v>2496</v>
      </c>
      <c r="E836" s="10">
        <v>5.70056544697E11</v>
      </c>
      <c r="F836" s="3" t="s">
        <v>2497</v>
      </c>
      <c r="G836" s="3" t="s">
        <v>12</v>
      </c>
      <c r="H836" s="12" t="s">
        <v>2425</v>
      </c>
      <c r="I836" s="3"/>
      <c r="J836" s="3"/>
      <c r="K836" s="3"/>
      <c r="L836" s="3"/>
      <c r="M836" s="3"/>
      <c r="N836" s="3"/>
      <c r="O836" s="3"/>
      <c r="P836" s="3"/>
      <c r="Q836" s="3"/>
    </row>
    <row r="837" ht="15.75" customHeight="1">
      <c r="A837" s="10">
        <v>836.0</v>
      </c>
      <c r="B837" s="3" t="s">
        <v>2498</v>
      </c>
      <c r="C837" s="3" t="s">
        <v>702</v>
      </c>
      <c r="D837" s="11" t="s">
        <v>2499</v>
      </c>
      <c r="E837" s="10">
        <v>5.70056544698E11</v>
      </c>
      <c r="F837" s="3" t="s">
        <v>2500</v>
      </c>
      <c r="G837" s="3" t="s">
        <v>12</v>
      </c>
      <c r="H837" s="12" t="s">
        <v>2501</v>
      </c>
      <c r="I837" s="3"/>
      <c r="J837" s="3"/>
      <c r="K837" s="3"/>
      <c r="L837" s="3"/>
      <c r="M837" s="3"/>
      <c r="N837" s="3"/>
      <c r="O837" s="3"/>
      <c r="P837" s="3"/>
      <c r="Q837" s="3"/>
    </row>
    <row r="838" ht="15.75" customHeight="1">
      <c r="A838" s="10">
        <v>837.0</v>
      </c>
      <c r="B838" s="3" t="s">
        <v>2502</v>
      </c>
      <c r="C838" s="3" t="s">
        <v>1270</v>
      </c>
      <c r="D838" s="11" t="s">
        <v>2503</v>
      </c>
      <c r="E838" s="10">
        <v>5.70056544699E11</v>
      </c>
      <c r="F838" s="3" t="s">
        <v>2155</v>
      </c>
      <c r="G838" s="3" t="s">
        <v>50</v>
      </c>
      <c r="H838" s="12" t="s">
        <v>2504</v>
      </c>
      <c r="I838" s="3"/>
      <c r="J838" s="3"/>
      <c r="K838" s="3" t="s">
        <v>89</v>
      </c>
      <c r="L838" s="3"/>
      <c r="M838" s="3"/>
      <c r="N838" s="3"/>
      <c r="O838" s="3"/>
      <c r="P838" s="3"/>
      <c r="Q838" s="3"/>
    </row>
    <row r="839" ht="15.75" customHeight="1">
      <c r="A839" s="10">
        <v>838.0</v>
      </c>
      <c r="B839" s="3" t="s">
        <v>2505</v>
      </c>
      <c r="C839" s="3" t="s">
        <v>2506</v>
      </c>
      <c r="D839" s="11" t="s">
        <v>2274</v>
      </c>
      <c r="E839" s="10">
        <v>5.700565447E11</v>
      </c>
      <c r="F839" s="3" t="s">
        <v>2507</v>
      </c>
      <c r="G839" s="3" t="s">
        <v>12</v>
      </c>
      <c r="H839" s="12" t="s">
        <v>2425</v>
      </c>
      <c r="I839" s="3"/>
      <c r="J839" s="3"/>
      <c r="K839" s="3"/>
      <c r="L839" s="3"/>
      <c r="M839" s="3"/>
      <c r="N839" s="3"/>
      <c r="O839" s="3"/>
      <c r="P839" s="3"/>
      <c r="Q839" s="3"/>
    </row>
    <row r="840" ht="15.75" customHeight="1">
      <c r="A840" s="10">
        <v>839.0</v>
      </c>
      <c r="B840" s="3" t="s">
        <v>345</v>
      </c>
      <c r="C840" s="3" t="s">
        <v>252</v>
      </c>
      <c r="D840" s="11" t="s">
        <v>2508</v>
      </c>
      <c r="E840" s="10">
        <v>5.70056000514E11</v>
      </c>
      <c r="F840" s="3" t="s">
        <v>2509</v>
      </c>
      <c r="G840" s="3" t="s">
        <v>50</v>
      </c>
      <c r="H840" s="12" t="s">
        <v>2501</v>
      </c>
      <c r="I840" s="3"/>
      <c r="J840" s="3"/>
      <c r="K840" s="3"/>
      <c r="L840" s="3"/>
      <c r="M840" s="3"/>
      <c r="N840" s="3"/>
      <c r="O840" s="3"/>
      <c r="P840" s="3"/>
      <c r="Q840" s="3"/>
    </row>
    <row r="841" ht="15.75" customHeight="1">
      <c r="A841" s="10">
        <v>840.0</v>
      </c>
      <c r="B841" s="3" t="s">
        <v>2510</v>
      </c>
      <c r="C841" s="3" t="s">
        <v>51</v>
      </c>
      <c r="D841" s="11" t="s">
        <v>2511</v>
      </c>
      <c r="E841" s="10">
        <v>5.70056000529E11</v>
      </c>
      <c r="F841" s="3" t="s">
        <v>2512</v>
      </c>
      <c r="G841" s="3" t="s">
        <v>12</v>
      </c>
      <c r="H841" s="12" t="s">
        <v>2501</v>
      </c>
      <c r="I841" s="3"/>
      <c r="J841" s="3"/>
      <c r="K841" s="3"/>
      <c r="L841" s="3"/>
      <c r="M841" s="3"/>
      <c r="N841" s="3"/>
      <c r="O841" s="3"/>
      <c r="P841" s="3"/>
      <c r="Q841" s="3"/>
    </row>
    <row r="842" ht="15.75" customHeight="1">
      <c r="A842" s="10">
        <v>841.0</v>
      </c>
      <c r="B842" s="3" t="s">
        <v>2513</v>
      </c>
      <c r="C842" s="3" t="s">
        <v>2021</v>
      </c>
      <c r="D842" s="11" t="s">
        <v>2514</v>
      </c>
      <c r="E842" s="10">
        <v>5.70056000544E11</v>
      </c>
      <c r="F842" s="3" t="s">
        <v>2406</v>
      </c>
      <c r="G842" s="3" t="s">
        <v>12</v>
      </c>
      <c r="H842" s="12" t="s">
        <v>2501</v>
      </c>
      <c r="I842" s="3"/>
      <c r="J842" s="3"/>
      <c r="K842" s="3"/>
      <c r="L842" s="3"/>
      <c r="M842" s="3"/>
      <c r="N842" s="3"/>
      <c r="O842" s="3"/>
      <c r="P842" s="3"/>
      <c r="Q842" s="3"/>
    </row>
    <row r="843" ht="15.75" customHeight="1">
      <c r="A843" s="10">
        <v>842.0</v>
      </c>
      <c r="B843" s="3" t="s">
        <v>2515</v>
      </c>
      <c r="C843" s="3" t="s">
        <v>52</v>
      </c>
      <c r="D843" s="11" t="s">
        <v>2516</v>
      </c>
      <c r="E843" s="10">
        <v>5.70056544703E11</v>
      </c>
      <c r="F843" s="3" t="s">
        <v>2266</v>
      </c>
      <c r="G843" s="3" t="s">
        <v>50</v>
      </c>
      <c r="H843" s="12" t="s">
        <v>2501</v>
      </c>
      <c r="I843" s="3"/>
      <c r="J843" s="3"/>
      <c r="K843" s="3" t="s">
        <v>89</v>
      </c>
      <c r="L843" s="3"/>
      <c r="M843" s="3"/>
      <c r="N843" s="3"/>
      <c r="O843" s="3"/>
      <c r="P843" s="3"/>
      <c r="Q843" s="3"/>
    </row>
    <row r="844" ht="15.75" customHeight="1">
      <c r="A844" s="10">
        <v>843.0</v>
      </c>
      <c r="B844" s="3" t="s">
        <v>2517</v>
      </c>
      <c r="C844" s="3" t="s">
        <v>2518</v>
      </c>
      <c r="D844" s="11" t="s">
        <v>2519</v>
      </c>
      <c r="E844" s="10">
        <v>5.70056544708E11</v>
      </c>
      <c r="F844" s="3" t="s">
        <v>2197</v>
      </c>
      <c r="G844" s="3" t="s">
        <v>197</v>
      </c>
      <c r="H844" s="12" t="s">
        <v>2501</v>
      </c>
      <c r="I844" s="3"/>
      <c r="J844" s="3"/>
      <c r="K844" s="3"/>
      <c r="L844" s="3"/>
      <c r="M844" s="3"/>
      <c r="N844" s="3"/>
      <c r="O844" s="3"/>
      <c r="P844" s="3"/>
      <c r="Q844" s="3"/>
    </row>
    <row r="845" ht="15.75" customHeight="1">
      <c r="A845" s="10">
        <v>844.0</v>
      </c>
      <c r="B845" s="3" t="s">
        <v>2520</v>
      </c>
      <c r="C845" s="3" t="s">
        <v>2521</v>
      </c>
      <c r="D845" s="11" t="s">
        <v>2522</v>
      </c>
      <c r="E845" s="10">
        <v>5.70056000539E11</v>
      </c>
      <c r="F845" s="3" t="s">
        <v>2523</v>
      </c>
      <c r="G845" s="3" t="s">
        <v>197</v>
      </c>
      <c r="H845" s="12" t="s">
        <v>2524</v>
      </c>
      <c r="I845" s="3"/>
      <c r="J845" s="3"/>
      <c r="K845" s="3" t="s">
        <v>89</v>
      </c>
      <c r="L845" s="3"/>
      <c r="M845" s="3"/>
      <c r="N845" s="3"/>
      <c r="O845" s="3"/>
      <c r="P845" s="3"/>
      <c r="Q845" s="3"/>
    </row>
    <row r="846" ht="15.75" customHeight="1">
      <c r="A846" s="10">
        <v>845.0</v>
      </c>
      <c r="B846" s="3" t="s">
        <v>2525</v>
      </c>
      <c r="C846" s="3" t="s">
        <v>844</v>
      </c>
      <c r="D846" s="11" t="s">
        <v>1873</v>
      </c>
      <c r="E846" s="10">
        <v>5.7005600054E11</v>
      </c>
      <c r="F846" s="3" t="s">
        <v>2526</v>
      </c>
      <c r="G846" s="3" t="s">
        <v>12</v>
      </c>
      <c r="H846" s="12" t="s">
        <v>2425</v>
      </c>
      <c r="I846" s="3"/>
      <c r="J846" s="3"/>
      <c r="K846" s="3" t="s">
        <v>89</v>
      </c>
      <c r="L846" s="3"/>
      <c r="M846" s="3"/>
      <c r="N846" s="3"/>
      <c r="O846" s="3"/>
      <c r="P846" s="3"/>
      <c r="Q846" s="3"/>
    </row>
    <row r="847" ht="15.75" customHeight="1">
      <c r="A847" s="10">
        <v>846.0</v>
      </c>
      <c r="B847" s="3" t="s">
        <v>2089</v>
      </c>
      <c r="C847" s="3" t="s">
        <v>2527</v>
      </c>
      <c r="D847" s="11" t="s">
        <v>1477</v>
      </c>
      <c r="E847" s="10">
        <v>5.70056544711E11</v>
      </c>
      <c r="F847" s="3" t="s">
        <v>2528</v>
      </c>
      <c r="G847" s="3" t="s">
        <v>197</v>
      </c>
      <c r="H847" s="12" t="s">
        <v>2425</v>
      </c>
      <c r="I847" s="3"/>
      <c r="J847" s="3"/>
      <c r="K847" s="3" t="s">
        <v>89</v>
      </c>
      <c r="L847" s="3"/>
      <c r="M847" s="3"/>
      <c r="N847" s="3"/>
      <c r="O847" s="3"/>
      <c r="P847" s="3"/>
      <c r="Q847" s="3"/>
    </row>
    <row r="848" ht="15.75" customHeight="1">
      <c r="A848" s="10">
        <v>847.0</v>
      </c>
      <c r="B848" s="3" t="s">
        <v>2529</v>
      </c>
      <c r="C848" s="3" t="s">
        <v>2246</v>
      </c>
      <c r="D848" s="11" t="s">
        <v>2530</v>
      </c>
      <c r="E848" s="10">
        <v>5.70056544712E11</v>
      </c>
      <c r="F848" s="3" t="s">
        <v>2531</v>
      </c>
      <c r="G848" s="3" t="s">
        <v>197</v>
      </c>
      <c r="H848" s="12" t="s">
        <v>2425</v>
      </c>
      <c r="I848" s="3"/>
      <c r="J848" s="3"/>
      <c r="K848" s="3" t="s">
        <v>89</v>
      </c>
      <c r="L848" s="3"/>
      <c r="M848" s="3"/>
      <c r="N848" s="3"/>
      <c r="O848" s="3"/>
      <c r="P848" s="3"/>
      <c r="Q848" s="3"/>
    </row>
    <row r="849" ht="15.75" customHeight="1">
      <c r="A849" s="10">
        <v>848.0</v>
      </c>
      <c r="B849" s="3" t="s">
        <v>2532</v>
      </c>
      <c r="C849" s="3" t="s">
        <v>957</v>
      </c>
      <c r="D849" s="11" t="s">
        <v>619</v>
      </c>
      <c r="E849" s="10">
        <v>5.70056544713E11</v>
      </c>
      <c r="F849" s="3" t="s">
        <v>2366</v>
      </c>
      <c r="G849" s="3" t="s">
        <v>197</v>
      </c>
      <c r="H849" s="12" t="s">
        <v>2425</v>
      </c>
      <c r="I849" s="3"/>
      <c r="J849" s="3"/>
      <c r="K849" s="3" t="s">
        <v>89</v>
      </c>
      <c r="L849" s="3"/>
      <c r="M849" s="3"/>
      <c r="N849" s="3"/>
      <c r="O849" s="3"/>
      <c r="P849" s="3"/>
      <c r="Q849" s="3"/>
    </row>
    <row r="850" ht="15.75" customHeight="1">
      <c r="A850" s="10">
        <v>849.0</v>
      </c>
      <c r="B850" s="3" t="s">
        <v>2533</v>
      </c>
      <c r="C850" s="3" t="s">
        <v>590</v>
      </c>
      <c r="D850" s="11" t="s">
        <v>2534</v>
      </c>
      <c r="E850" s="10">
        <v>5.7005600053E11</v>
      </c>
      <c r="F850" s="3" t="s">
        <v>2535</v>
      </c>
      <c r="G850" s="3" t="s">
        <v>197</v>
      </c>
      <c r="H850" s="12" t="s">
        <v>2536</v>
      </c>
      <c r="I850" s="3"/>
      <c r="J850" s="3"/>
      <c r="K850" s="3"/>
      <c r="L850" s="3"/>
      <c r="M850" s="3"/>
      <c r="N850" s="3"/>
      <c r="O850" s="3"/>
      <c r="P850" s="3"/>
      <c r="Q850" s="3"/>
    </row>
    <row r="851" ht="15.75" customHeight="1">
      <c r="A851" s="10">
        <v>850.0</v>
      </c>
      <c r="B851" s="3" t="s">
        <v>2537</v>
      </c>
      <c r="C851" s="3" t="s">
        <v>2538</v>
      </c>
      <c r="D851" s="11" t="s">
        <v>366</v>
      </c>
      <c r="E851" s="10">
        <v>5.70056000541E11</v>
      </c>
      <c r="F851" s="3" t="s">
        <v>2539</v>
      </c>
      <c r="G851" s="3" t="s">
        <v>12</v>
      </c>
      <c r="H851" s="12" t="s">
        <v>2425</v>
      </c>
      <c r="I851" s="3"/>
      <c r="J851" s="3"/>
      <c r="K851" s="3"/>
      <c r="L851" s="3"/>
      <c r="M851" s="3"/>
      <c r="N851" s="3"/>
      <c r="O851" s="3"/>
      <c r="P851" s="3"/>
      <c r="Q851" s="3"/>
    </row>
    <row r="852" ht="15.75" customHeight="1">
      <c r="A852" s="10">
        <v>851.0</v>
      </c>
      <c r="B852" s="3" t="s">
        <v>2540</v>
      </c>
      <c r="C852" s="3" t="s">
        <v>506</v>
      </c>
      <c r="D852" s="11" t="s">
        <v>2198</v>
      </c>
      <c r="E852" s="10">
        <v>5.7005654472E11</v>
      </c>
      <c r="F852" s="3" t="s">
        <v>2541</v>
      </c>
      <c r="G852" s="3" t="s">
        <v>197</v>
      </c>
      <c r="H852" s="12" t="s">
        <v>2542</v>
      </c>
      <c r="I852" s="3"/>
      <c r="J852" s="3"/>
      <c r="K852" s="3"/>
      <c r="L852" s="3"/>
      <c r="M852" s="3"/>
      <c r="N852" s="3"/>
      <c r="O852" s="3"/>
      <c r="P852" s="3"/>
      <c r="Q852" s="3"/>
    </row>
    <row r="853" ht="15.75" customHeight="1">
      <c r="A853" s="10">
        <v>852.0</v>
      </c>
      <c r="B853" s="3" t="s">
        <v>51</v>
      </c>
      <c r="C853" s="3" t="s">
        <v>2543</v>
      </c>
      <c r="D853" s="11" t="s">
        <v>2544</v>
      </c>
      <c r="E853" s="10">
        <v>5.70056544721E11</v>
      </c>
      <c r="F853" s="3" t="s">
        <v>2545</v>
      </c>
      <c r="G853" s="3" t="s">
        <v>12</v>
      </c>
      <c r="H853" s="12" t="s">
        <v>2542</v>
      </c>
      <c r="I853" s="3"/>
      <c r="J853" s="3"/>
      <c r="K853" s="3"/>
      <c r="L853" s="3"/>
      <c r="M853" s="3"/>
      <c r="N853" s="3"/>
      <c r="O853" s="3"/>
      <c r="P853" s="3"/>
      <c r="Q853" s="3"/>
    </row>
    <row r="854" ht="15.75" customHeight="1">
      <c r="A854" s="10">
        <v>853.0</v>
      </c>
      <c r="B854" s="3" t="s">
        <v>2249</v>
      </c>
      <c r="C854" s="3" t="s">
        <v>2546</v>
      </c>
      <c r="D854" s="11" t="s">
        <v>2511</v>
      </c>
      <c r="E854" s="10">
        <v>5.70056000543E11</v>
      </c>
      <c r="F854" s="3" t="s">
        <v>2547</v>
      </c>
      <c r="G854" s="3" t="s">
        <v>651</v>
      </c>
      <c r="H854" s="12" t="s">
        <v>2437</v>
      </c>
      <c r="I854" s="3"/>
      <c r="J854" s="3"/>
      <c r="K854" s="3" t="s">
        <v>89</v>
      </c>
      <c r="L854" s="3"/>
      <c r="M854" s="3"/>
      <c r="N854" s="3"/>
      <c r="O854" s="3"/>
      <c r="P854" s="3"/>
      <c r="Q854" s="3"/>
    </row>
    <row r="855" ht="15.75" customHeight="1">
      <c r="A855" s="10">
        <v>854.0</v>
      </c>
      <c r="B855" s="3" t="s">
        <v>547</v>
      </c>
      <c r="C855" s="3" t="s">
        <v>148</v>
      </c>
      <c r="D855" s="11" t="s">
        <v>2548</v>
      </c>
      <c r="E855" s="10">
        <v>5.70056544733E11</v>
      </c>
      <c r="F855" s="3" t="s">
        <v>2549</v>
      </c>
      <c r="G855" s="3" t="s">
        <v>197</v>
      </c>
      <c r="H855" s="12" t="s">
        <v>2550</v>
      </c>
      <c r="I855" s="3"/>
      <c r="J855" s="3"/>
      <c r="K855" s="3"/>
      <c r="L855" s="3"/>
      <c r="M855" s="3"/>
      <c r="N855" s="3"/>
      <c r="O855" s="3"/>
      <c r="P855" s="3"/>
      <c r="Q855" s="3"/>
    </row>
    <row r="856" ht="15.75" customHeight="1">
      <c r="A856" s="10">
        <v>855.0</v>
      </c>
      <c r="B856" s="3" t="s">
        <v>2551</v>
      </c>
      <c r="C856" s="3" t="s">
        <v>1299</v>
      </c>
      <c r="D856" s="11" t="s">
        <v>2552</v>
      </c>
      <c r="E856" s="10">
        <v>5.70056544734E11</v>
      </c>
      <c r="F856" s="3" t="s">
        <v>2553</v>
      </c>
      <c r="G856" s="3" t="s">
        <v>197</v>
      </c>
      <c r="H856" s="12" t="s">
        <v>2554</v>
      </c>
      <c r="I856" s="3"/>
      <c r="J856" s="3"/>
      <c r="K856" s="3" t="s">
        <v>89</v>
      </c>
      <c r="L856" s="3"/>
      <c r="M856" s="3"/>
      <c r="N856" s="3"/>
      <c r="O856" s="3"/>
      <c r="P856" s="3"/>
      <c r="Q856" s="3"/>
    </row>
    <row r="857" ht="15.75" customHeight="1">
      <c r="A857" s="10">
        <v>856.0</v>
      </c>
      <c r="B857" s="3" t="s">
        <v>2555</v>
      </c>
      <c r="C857" s="3" t="s">
        <v>2312</v>
      </c>
      <c r="D857" s="11" t="s">
        <v>820</v>
      </c>
      <c r="E857" s="10">
        <v>5.70056544736E11</v>
      </c>
      <c r="F857" s="3" t="s">
        <v>2556</v>
      </c>
      <c r="G857" s="3" t="s">
        <v>12</v>
      </c>
      <c r="H857" s="12" t="s">
        <v>2501</v>
      </c>
      <c r="I857" s="3"/>
      <c r="J857" s="3"/>
      <c r="K857" s="3"/>
      <c r="L857" s="3"/>
      <c r="M857" s="3"/>
      <c r="N857" s="3"/>
      <c r="O857" s="3"/>
      <c r="P857" s="3"/>
      <c r="Q857" s="3"/>
    </row>
    <row r="858" ht="15.75" customHeight="1">
      <c r="A858" s="10">
        <v>857.0</v>
      </c>
      <c r="B858" s="3" t="s">
        <v>2557</v>
      </c>
      <c r="C858" s="3" t="s">
        <v>513</v>
      </c>
      <c r="D858" s="11" t="s">
        <v>504</v>
      </c>
      <c r="E858" s="10">
        <v>5.7005654474E11</v>
      </c>
      <c r="F858" s="3" t="s">
        <v>2155</v>
      </c>
      <c r="G858" s="3" t="s">
        <v>12</v>
      </c>
      <c r="H858" s="12" t="s">
        <v>2425</v>
      </c>
      <c r="I858" s="3"/>
      <c r="J858" s="3"/>
      <c r="K858" s="3"/>
      <c r="L858" s="3"/>
      <c r="M858" s="3"/>
      <c r="N858" s="3"/>
      <c r="O858" s="3"/>
      <c r="P858" s="3"/>
      <c r="Q858" s="3"/>
    </row>
    <row r="859" ht="15.75" customHeight="1">
      <c r="A859" s="10">
        <v>858.0</v>
      </c>
      <c r="B859" s="3" t="s">
        <v>2558</v>
      </c>
      <c r="C859" s="3" t="s">
        <v>2559</v>
      </c>
      <c r="D859" s="11" t="s">
        <v>2560</v>
      </c>
      <c r="E859" s="10">
        <v>5.7005654473E11</v>
      </c>
      <c r="F859" s="3" t="s">
        <v>2561</v>
      </c>
      <c r="G859" s="3" t="s">
        <v>197</v>
      </c>
      <c r="H859" s="12" t="s">
        <v>2425</v>
      </c>
      <c r="I859" s="3"/>
      <c r="J859" s="3"/>
      <c r="K859" s="3"/>
      <c r="L859" s="3"/>
      <c r="M859" s="3"/>
      <c r="N859" s="3"/>
      <c r="O859" s="3"/>
      <c r="P859" s="3"/>
      <c r="Q859" s="3"/>
    </row>
    <row r="860" ht="15.75" customHeight="1">
      <c r="A860" s="10">
        <v>859.0</v>
      </c>
      <c r="B860" s="3" t="s">
        <v>2562</v>
      </c>
      <c r="C860" s="3" t="s">
        <v>1211</v>
      </c>
      <c r="D860" s="11" t="s">
        <v>2563</v>
      </c>
      <c r="E860" s="10">
        <v>5.70056544741E11</v>
      </c>
      <c r="F860" s="3" t="s">
        <v>2564</v>
      </c>
      <c r="G860" s="3" t="s">
        <v>12</v>
      </c>
      <c r="H860" s="12" t="s">
        <v>2501</v>
      </c>
      <c r="I860" s="3"/>
      <c r="J860" s="3"/>
      <c r="K860" s="3"/>
      <c r="L860" s="3"/>
      <c r="M860" s="3"/>
      <c r="N860" s="3"/>
      <c r="O860" s="3"/>
      <c r="P860" s="3"/>
      <c r="Q860" s="3"/>
    </row>
    <row r="861" ht="15.75" customHeight="1">
      <c r="A861" s="10">
        <v>860.0</v>
      </c>
      <c r="B861" s="3" t="s">
        <v>2565</v>
      </c>
      <c r="C861" s="3" t="s">
        <v>2566</v>
      </c>
      <c r="D861" s="11" t="s">
        <v>2456</v>
      </c>
      <c r="E861" s="10">
        <v>5.70056544743E11</v>
      </c>
      <c r="F861" s="3" t="s">
        <v>2155</v>
      </c>
      <c r="G861" s="3" t="s">
        <v>197</v>
      </c>
      <c r="H861" s="12" t="s">
        <v>2567</v>
      </c>
      <c r="I861" s="3"/>
      <c r="J861" s="3"/>
      <c r="K861" s="3"/>
      <c r="L861" s="3"/>
      <c r="M861" s="3"/>
      <c r="N861" s="3"/>
      <c r="O861" s="3"/>
      <c r="P861" s="3"/>
      <c r="Q861" s="3"/>
    </row>
    <row r="862" ht="15.75" customHeight="1">
      <c r="A862" s="10">
        <v>861.0</v>
      </c>
      <c r="B862" s="3" t="s">
        <v>2568</v>
      </c>
      <c r="C862" s="3" t="s">
        <v>2569</v>
      </c>
      <c r="D862" s="11" t="s">
        <v>2570</v>
      </c>
      <c r="E862" s="10">
        <v>5.70056544744E11</v>
      </c>
      <c r="F862" s="3" t="s">
        <v>2571</v>
      </c>
      <c r="G862" s="3" t="s">
        <v>1963</v>
      </c>
      <c r="H862" s="12" t="s">
        <v>2425</v>
      </c>
      <c r="I862" s="3"/>
      <c r="J862" s="3"/>
      <c r="K862" s="3"/>
      <c r="L862" s="3"/>
      <c r="M862" s="3"/>
      <c r="N862" s="3"/>
      <c r="O862" s="3"/>
      <c r="P862" s="3"/>
      <c r="Q862" s="3"/>
    </row>
    <row r="863" ht="15.75" customHeight="1">
      <c r="A863" s="10">
        <v>862.0</v>
      </c>
      <c r="B863" s="3" t="s">
        <v>2572</v>
      </c>
      <c r="C863" s="3" t="s">
        <v>1353</v>
      </c>
      <c r="D863" s="11" t="s">
        <v>1857</v>
      </c>
      <c r="E863" s="10">
        <v>5.70056544745E11</v>
      </c>
      <c r="F863" s="3" t="s">
        <v>2573</v>
      </c>
      <c r="G863" s="3" t="s">
        <v>197</v>
      </c>
      <c r="H863" s="12" t="s">
        <v>2574</v>
      </c>
      <c r="I863" s="3"/>
      <c r="J863" s="3"/>
      <c r="K863" s="3"/>
      <c r="L863" s="3"/>
      <c r="M863" s="3"/>
      <c r="N863" s="3"/>
      <c r="O863" s="3"/>
      <c r="P863" s="3"/>
      <c r="Q863" s="3"/>
    </row>
    <row r="864" ht="15.75" customHeight="1">
      <c r="A864" s="10">
        <v>863.0</v>
      </c>
      <c r="B864" s="3" t="s">
        <v>2575</v>
      </c>
      <c r="C864" s="3" t="s">
        <v>790</v>
      </c>
      <c r="D864" s="11" t="s">
        <v>2576</v>
      </c>
      <c r="E864" s="10">
        <v>5.70056544749E11</v>
      </c>
      <c r="F864" s="3" t="s">
        <v>2577</v>
      </c>
      <c r="G864" s="3" t="s">
        <v>197</v>
      </c>
      <c r="H864" s="12" t="s">
        <v>2501</v>
      </c>
      <c r="I864" s="3"/>
      <c r="J864" s="3"/>
      <c r="K864" s="3"/>
      <c r="L864" s="3"/>
      <c r="M864" s="3"/>
      <c r="N864" s="3"/>
      <c r="O864" s="3"/>
      <c r="P864" s="3"/>
      <c r="Q864" s="3"/>
    </row>
    <row r="865" ht="15.75" customHeight="1">
      <c r="A865" s="10">
        <v>864.0</v>
      </c>
      <c r="B865" s="3" t="s">
        <v>2578</v>
      </c>
      <c r="C865" s="3" t="s">
        <v>879</v>
      </c>
      <c r="D865" s="11" t="s">
        <v>2579</v>
      </c>
      <c r="E865" s="10">
        <v>5.70056544751E11</v>
      </c>
      <c r="F865" s="3" t="s">
        <v>2406</v>
      </c>
      <c r="G865" s="3" t="s">
        <v>50</v>
      </c>
      <c r="H865" s="12" t="s">
        <v>2425</v>
      </c>
      <c r="I865" s="3"/>
      <c r="J865" s="3"/>
      <c r="K865" s="3"/>
      <c r="L865" s="3"/>
      <c r="M865" s="3"/>
      <c r="N865" s="3"/>
      <c r="O865" s="3"/>
      <c r="P865" s="3"/>
      <c r="Q865" s="3"/>
    </row>
    <row r="866" ht="15.75" customHeight="1">
      <c r="A866" s="10">
        <v>865.0</v>
      </c>
      <c r="B866" s="3" t="s">
        <v>2491</v>
      </c>
      <c r="C866" s="3" t="s">
        <v>778</v>
      </c>
      <c r="D866" s="11" t="s">
        <v>2580</v>
      </c>
      <c r="E866" s="10">
        <v>5.70056544752E11</v>
      </c>
      <c r="F866" s="3" t="s">
        <v>2581</v>
      </c>
      <c r="G866" s="3" t="s">
        <v>50</v>
      </c>
      <c r="H866" s="12" t="s">
        <v>2501</v>
      </c>
      <c r="I866" s="3"/>
      <c r="J866" s="3"/>
      <c r="K866" s="3"/>
      <c r="L866" s="3"/>
      <c r="M866" s="3"/>
      <c r="N866" s="3"/>
      <c r="O866" s="3"/>
      <c r="P866" s="3"/>
      <c r="Q866" s="3"/>
    </row>
    <row r="867" ht="15.75" customHeight="1">
      <c r="A867" s="10">
        <v>866.0</v>
      </c>
      <c r="B867" s="3" t="s">
        <v>2582</v>
      </c>
      <c r="C867" s="3" t="s">
        <v>1973</v>
      </c>
      <c r="D867" s="11" t="s">
        <v>2583</v>
      </c>
      <c r="E867" s="10">
        <v>5.70056544753E11</v>
      </c>
      <c r="F867" s="3" t="s">
        <v>2584</v>
      </c>
      <c r="G867" s="3" t="s">
        <v>50</v>
      </c>
      <c r="H867" s="12" t="s">
        <v>2501</v>
      </c>
      <c r="I867" s="3"/>
      <c r="J867" s="3"/>
      <c r="K867" s="3"/>
      <c r="L867" s="3"/>
      <c r="M867" s="3"/>
      <c r="N867" s="3"/>
      <c r="O867" s="3"/>
      <c r="P867" s="3"/>
      <c r="Q867" s="3"/>
    </row>
    <row r="868" ht="15.75" customHeight="1">
      <c r="A868" s="10">
        <v>867.0</v>
      </c>
      <c r="B868" s="3" t="s">
        <v>728</v>
      </c>
      <c r="C868" s="3" t="s">
        <v>92</v>
      </c>
      <c r="D868" s="11" t="s">
        <v>1006</v>
      </c>
      <c r="E868" s="10">
        <v>5.70056544755E11</v>
      </c>
      <c r="F868" s="3" t="s">
        <v>2585</v>
      </c>
      <c r="G868" s="3" t="s">
        <v>197</v>
      </c>
      <c r="H868" s="12" t="s">
        <v>2501</v>
      </c>
      <c r="I868" s="3"/>
      <c r="J868" s="3"/>
      <c r="K868" s="3"/>
      <c r="L868" s="3"/>
      <c r="M868" s="3"/>
      <c r="N868" s="3"/>
      <c r="O868" s="3"/>
      <c r="P868" s="3"/>
      <c r="Q868" s="3"/>
    </row>
    <row r="869" ht="15.75" customHeight="1">
      <c r="A869" s="10">
        <v>868.0</v>
      </c>
      <c r="B869" s="3" t="s">
        <v>2586</v>
      </c>
      <c r="C869" s="3" t="s">
        <v>92</v>
      </c>
      <c r="D869" s="11" t="s">
        <v>1006</v>
      </c>
      <c r="E869" s="10">
        <v>5.70056544756E11</v>
      </c>
      <c r="F869" s="3" t="s">
        <v>2587</v>
      </c>
      <c r="G869" s="3" t="s">
        <v>197</v>
      </c>
      <c r="H869" s="12" t="s">
        <v>2501</v>
      </c>
      <c r="I869" s="3"/>
      <c r="J869" s="3"/>
      <c r="K869" s="3"/>
      <c r="L869" s="3"/>
      <c r="M869" s="3"/>
      <c r="N869" s="3"/>
      <c r="O869" s="3"/>
      <c r="P869" s="3"/>
      <c r="Q869" s="3"/>
    </row>
    <row r="870" ht="15.75" customHeight="1">
      <c r="A870" s="10">
        <v>869.0</v>
      </c>
      <c r="B870" s="3" t="s">
        <v>2588</v>
      </c>
      <c r="C870" s="3" t="s">
        <v>702</v>
      </c>
      <c r="D870" s="11" t="s">
        <v>2589</v>
      </c>
      <c r="E870" s="10">
        <v>5.70056544762E11</v>
      </c>
      <c r="F870" s="3" t="s">
        <v>2590</v>
      </c>
      <c r="G870" s="3" t="s">
        <v>50</v>
      </c>
      <c r="H870" s="12" t="s">
        <v>2501</v>
      </c>
      <c r="I870" s="3"/>
      <c r="J870" s="3"/>
      <c r="K870" s="3"/>
      <c r="L870" s="3"/>
      <c r="M870" s="3"/>
      <c r="N870" s="3"/>
      <c r="O870" s="3"/>
      <c r="P870" s="3"/>
      <c r="Q870" s="3"/>
    </row>
    <row r="871" ht="15.75" customHeight="1">
      <c r="A871" s="10">
        <v>870.0</v>
      </c>
      <c r="B871" s="3" t="s">
        <v>2591</v>
      </c>
      <c r="C871" s="3" t="s">
        <v>2592</v>
      </c>
      <c r="D871" s="11" t="s">
        <v>2593</v>
      </c>
      <c r="E871" s="10">
        <v>5.70056544767E11</v>
      </c>
      <c r="F871" s="3" t="s">
        <v>2594</v>
      </c>
      <c r="G871" s="3" t="s">
        <v>197</v>
      </c>
      <c r="H871" s="12" t="s">
        <v>2501</v>
      </c>
      <c r="I871" s="3"/>
      <c r="J871" s="3"/>
      <c r="K871" s="3"/>
      <c r="L871" s="3"/>
      <c r="M871" s="3"/>
      <c r="N871" s="3"/>
      <c r="O871" s="3"/>
      <c r="P871" s="3"/>
      <c r="Q871" s="3"/>
    </row>
    <row r="872" ht="15.75" customHeight="1">
      <c r="A872" s="10">
        <v>871.0</v>
      </c>
      <c r="B872" s="3" t="s">
        <v>2595</v>
      </c>
      <c r="C872" s="3" t="s">
        <v>939</v>
      </c>
      <c r="D872" s="11" t="s">
        <v>1162</v>
      </c>
      <c r="E872" s="10">
        <v>5.70056544768E11</v>
      </c>
      <c r="F872" s="3" t="s">
        <v>2248</v>
      </c>
      <c r="G872" s="3" t="s">
        <v>651</v>
      </c>
      <c r="H872" s="12" t="s">
        <v>2501</v>
      </c>
      <c r="I872" s="3"/>
      <c r="J872" s="3"/>
      <c r="K872" s="3"/>
      <c r="L872" s="3"/>
      <c r="M872" s="3"/>
      <c r="N872" s="3"/>
      <c r="O872" s="3"/>
      <c r="P872" s="3"/>
      <c r="Q872" s="3"/>
    </row>
    <row r="873" ht="15.75" customHeight="1">
      <c r="A873" s="10">
        <v>872.0</v>
      </c>
      <c r="B873" s="3" t="s">
        <v>2596</v>
      </c>
      <c r="C873" s="3" t="s">
        <v>2597</v>
      </c>
      <c r="D873" s="11" t="s">
        <v>2598</v>
      </c>
      <c r="E873" s="10">
        <v>5.70056544769E11</v>
      </c>
      <c r="F873" s="3" t="s">
        <v>2366</v>
      </c>
      <c r="G873" s="3" t="s">
        <v>197</v>
      </c>
      <c r="H873" s="12" t="s">
        <v>2501</v>
      </c>
      <c r="I873" s="3"/>
      <c r="J873" s="3"/>
      <c r="K873" s="3"/>
      <c r="L873" s="3"/>
      <c r="M873" s="3"/>
      <c r="N873" s="3"/>
      <c r="O873" s="3"/>
      <c r="P873" s="3"/>
      <c r="Q873" s="3"/>
    </row>
    <row r="874" ht="15.75" customHeight="1">
      <c r="A874" s="10">
        <v>873.0</v>
      </c>
      <c r="B874" s="3" t="s">
        <v>2599</v>
      </c>
      <c r="C874" s="3" t="s">
        <v>9</v>
      </c>
      <c r="D874" s="11" t="s">
        <v>2600</v>
      </c>
      <c r="E874" s="10">
        <v>5.7005654477E11</v>
      </c>
      <c r="F874" s="3" t="s">
        <v>2601</v>
      </c>
      <c r="G874" s="3" t="s">
        <v>50</v>
      </c>
      <c r="H874" s="12" t="s">
        <v>2501</v>
      </c>
      <c r="I874" s="3"/>
      <c r="J874" s="3"/>
      <c r="K874" s="3"/>
      <c r="L874" s="3"/>
      <c r="M874" s="3"/>
      <c r="N874" s="3"/>
      <c r="O874" s="3"/>
      <c r="P874" s="3"/>
      <c r="Q874" s="3"/>
    </row>
    <row r="875" ht="15.75" customHeight="1">
      <c r="A875" s="10">
        <v>874.0</v>
      </c>
      <c r="B875" s="3" t="s">
        <v>2602</v>
      </c>
      <c r="C875" s="3" t="s">
        <v>106</v>
      </c>
      <c r="D875" s="11" t="s">
        <v>659</v>
      </c>
      <c r="E875" s="10">
        <v>5.70056544771E11</v>
      </c>
      <c r="F875" s="3" t="s">
        <v>2603</v>
      </c>
      <c r="G875" s="3" t="s">
        <v>197</v>
      </c>
      <c r="H875" s="12" t="s">
        <v>2501</v>
      </c>
      <c r="I875" s="3"/>
      <c r="J875" s="3"/>
      <c r="K875" s="3"/>
      <c r="L875" s="3"/>
      <c r="M875" s="3"/>
      <c r="N875" s="3"/>
      <c r="O875" s="3"/>
      <c r="P875" s="3"/>
      <c r="Q875" s="3"/>
    </row>
    <row r="876" ht="15.75" customHeight="1">
      <c r="A876" s="10">
        <v>875.0</v>
      </c>
      <c r="B876" s="3" t="s">
        <v>2604</v>
      </c>
      <c r="C876" s="3" t="s">
        <v>2273</v>
      </c>
      <c r="D876" s="11" t="s">
        <v>2274</v>
      </c>
      <c r="E876" s="10">
        <v>5.70056544772E11</v>
      </c>
      <c r="F876" s="3" t="s">
        <v>2605</v>
      </c>
      <c r="G876" s="3" t="s">
        <v>12</v>
      </c>
      <c r="H876" s="12" t="s">
        <v>2501</v>
      </c>
      <c r="I876" s="3"/>
      <c r="J876" s="3"/>
      <c r="K876" s="3"/>
      <c r="L876" s="3"/>
      <c r="M876" s="3"/>
      <c r="N876" s="3"/>
      <c r="O876" s="3"/>
      <c r="P876" s="3"/>
      <c r="Q876" s="3"/>
    </row>
    <row r="877" ht="15.75" customHeight="1">
      <c r="A877" s="10">
        <v>876.0</v>
      </c>
      <c r="B877" s="3" t="s">
        <v>2606</v>
      </c>
      <c r="C877" s="3" t="s">
        <v>90</v>
      </c>
      <c r="D877" s="11" t="s">
        <v>2607</v>
      </c>
      <c r="E877" s="10">
        <v>5.70056544775E11</v>
      </c>
      <c r="F877" s="3" t="s">
        <v>2085</v>
      </c>
      <c r="G877" s="3" t="s">
        <v>50</v>
      </c>
      <c r="H877" s="12" t="s">
        <v>2501</v>
      </c>
      <c r="I877" s="3"/>
      <c r="J877" s="3"/>
      <c r="K877" s="3"/>
      <c r="L877" s="3"/>
      <c r="M877" s="3"/>
      <c r="N877" s="3"/>
      <c r="O877" s="3"/>
      <c r="P877" s="3"/>
      <c r="Q877" s="3"/>
    </row>
    <row r="878" ht="15.75" customHeight="1">
      <c r="A878" s="10">
        <v>877.0</v>
      </c>
      <c r="B878" s="3" t="s">
        <v>2608</v>
      </c>
      <c r="C878" s="3" t="s">
        <v>1214</v>
      </c>
      <c r="D878" s="11" t="s">
        <v>1014</v>
      </c>
      <c r="E878" s="10">
        <v>5.70056544779E11</v>
      </c>
      <c r="F878" s="3" t="s">
        <v>2609</v>
      </c>
      <c r="G878" s="3" t="s">
        <v>12</v>
      </c>
      <c r="H878" s="12" t="s">
        <v>2501</v>
      </c>
      <c r="I878" s="3"/>
      <c r="J878" s="3"/>
      <c r="K878" s="3"/>
      <c r="L878" s="3"/>
      <c r="M878" s="3"/>
      <c r="N878" s="3"/>
      <c r="O878" s="3"/>
      <c r="P878" s="3"/>
      <c r="Q878" s="3"/>
    </row>
    <row r="879" ht="15.75" customHeight="1">
      <c r="A879" s="10">
        <v>878.0</v>
      </c>
      <c r="B879" s="3" t="s">
        <v>2610</v>
      </c>
      <c r="C879" s="3" t="s">
        <v>76</v>
      </c>
      <c r="D879" s="11" t="s">
        <v>2229</v>
      </c>
      <c r="E879" s="10">
        <v>5.7005654478E11</v>
      </c>
      <c r="F879" s="3" t="s">
        <v>2611</v>
      </c>
      <c r="G879" s="3" t="s">
        <v>197</v>
      </c>
      <c r="H879" s="12" t="s">
        <v>2501</v>
      </c>
      <c r="I879" s="3"/>
      <c r="J879" s="3"/>
      <c r="K879" s="3"/>
      <c r="L879" s="3"/>
      <c r="M879" s="3"/>
      <c r="N879" s="3"/>
      <c r="O879" s="3"/>
      <c r="P879" s="3"/>
      <c r="Q879" s="3"/>
    </row>
    <row r="880" ht="15.75" customHeight="1">
      <c r="A880" s="10">
        <v>879.0</v>
      </c>
      <c r="B880" s="3" t="s">
        <v>2089</v>
      </c>
      <c r="C880" s="3" t="s">
        <v>2491</v>
      </c>
      <c r="D880" s="11" t="s">
        <v>2612</v>
      </c>
      <c r="E880" s="10">
        <v>5.70056544786E11</v>
      </c>
      <c r="F880" s="3" t="s">
        <v>2395</v>
      </c>
      <c r="G880" s="3" t="s">
        <v>37</v>
      </c>
      <c r="H880" s="12" t="s">
        <v>2425</v>
      </c>
      <c r="I880" s="3"/>
      <c r="J880" s="3"/>
      <c r="K880" s="3"/>
      <c r="L880" s="3"/>
      <c r="M880" s="3"/>
      <c r="N880" s="3"/>
      <c r="O880" s="3"/>
      <c r="P880" s="3"/>
      <c r="Q880" s="3"/>
    </row>
    <row r="881" ht="15.75" customHeight="1">
      <c r="A881" s="10">
        <v>880.0</v>
      </c>
      <c r="B881" s="3" t="s">
        <v>2613</v>
      </c>
      <c r="C881" s="3" t="s">
        <v>2614</v>
      </c>
      <c r="D881" s="11" t="s">
        <v>2583</v>
      </c>
      <c r="E881" s="10">
        <v>5.70056544792E11</v>
      </c>
      <c r="F881" s="3" t="s">
        <v>2615</v>
      </c>
      <c r="G881" s="3" t="s">
        <v>12</v>
      </c>
      <c r="H881" s="12" t="s">
        <v>2501</v>
      </c>
      <c r="I881" s="3"/>
      <c r="J881" s="3"/>
      <c r="K881" s="3"/>
      <c r="L881" s="3"/>
      <c r="M881" s="3"/>
      <c r="N881" s="3"/>
      <c r="O881" s="3"/>
      <c r="P881" s="3"/>
      <c r="Q881" s="3"/>
    </row>
    <row r="882" ht="15.75" customHeight="1">
      <c r="A882" s="10">
        <v>881.0</v>
      </c>
      <c r="B882" s="3" t="s">
        <v>2616</v>
      </c>
      <c r="C882" s="3" t="s">
        <v>2617</v>
      </c>
      <c r="D882" s="11" t="s">
        <v>2618</v>
      </c>
      <c r="E882" s="10">
        <v>5.70056544794E11</v>
      </c>
      <c r="F882" s="3" t="s">
        <v>2619</v>
      </c>
      <c r="G882" s="3" t="s">
        <v>12</v>
      </c>
      <c r="H882" s="12" t="s">
        <v>2501</v>
      </c>
      <c r="I882" s="3"/>
      <c r="J882" s="3"/>
      <c r="K882" s="3" t="s">
        <v>89</v>
      </c>
      <c r="L882" s="3"/>
      <c r="M882" s="3"/>
      <c r="N882" s="3"/>
      <c r="O882" s="3"/>
      <c r="P882" s="3"/>
      <c r="Q882" s="3"/>
    </row>
    <row r="883" ht="15.75" customHeight="1">
      <c r="A883" s="10">
        <v>882.0</v>
      </c>
      <c r="B883" s="3" t="s">
        <v>2620</v>
      </c>
      <c r="C883" s="3" t="s">
        <v>441</v>
      </c>
      <c r="D883" s="11" t="s">
        <v>2621</v>
      </c>
      <c r="E883" s="10">
        <v>5.70056544795E11</v>
      </c>
      <c r="F883" s="3" t="s">
        <v>2622</v>
      </c>
      <c r="G883" s="3" t="s">
        <v>197</v>
      </c>
      <c r="H883" s="12" t="s">
        <v>2501</v>
      </c>
      <c r="I883" s="3"/>
      <c r="J883" s="3"/>
      <c r="K883" s="3"/>
      <c r="L883" s="3"/>
      <c r="M883" s="3"/>
      <c r="N883" s="3"/>
      <c r="O883" s="3"/>
      <c r="P883" s="3"/>
      <c r="Q883" s="3"/>
    </row>
    <row r="884" ht="15.75" customHeight="1">
      <c r="A884" s="10">
        <v>883.0</v>
      </c>
      <c r="B884" s="3" t="s">
        <v>2623</v>
      </c>
      <c r="C884" s="3" t="s">
        <v>1418</v>
      </c>
      <c r="D884" s="11" t="s">
        <v>445</v>
      </c>
      <c r="E884" s="10">
        <v>5.70056544803E11</v>
      </c>
      <c r="F884" s="3" t="s">
        <v>2624</v>
      </c>
      <c r="G884" s="3" t="s">
        <v>50</v>
      </c>
      <c r="H884" s="12" t="s">
        <v>2501</v>
      </c>
      <c r="I884" s="3"/>
      <c r="J884" s="3"/>
      <c r="K884" s="3"/>
      <c r="L884" s="3"/>
      <c r="M884" s="3"/>
      <c r="N884" s="3"/>
      <c r="O884" s="3"/>
      <c r="P884" s="3"/>
      <c r="Q884" s="3"/>
    </row>
    <row r="885" ht="15.75" customHeight="1">
      <c r="A885" s="10">
        <v>884.0</v>
      </c>
      <c r="B885" s="3" t="s">
        <v>2625</v>
      </c>
      <c r="C885" s="3" t="s">
        <v>1146</v>
      </c>
      <c r="D885" s="11" t="s">
        <v>2583</v>
      </c>
      <c r="E885" s="10">
        <v>5.70056544804E11</v>
      </c>
      <c r="F885" s="3" t="s">
        <v>2626</v>
      </c>
      <c r="G885" s="3" t="s">
        <v>50</v>
      </c>
      <c r="H885" s="12" t="s">
        <v>2501</v>
      </c>
      <c r="I885" s="3"/>
      <c r="J885" s="3"/>
      <c r="K885" s="3"/>
      <c r="L885" s="3"/>
      <c r="M885" s="3"/>
      <c r="N885" s="3"/>
      <c r="O885" s="3"/>
      <c r="P885" s="3"/>
      <c r="Q885" s="3"/>
    </row>
    <row r="886" ht="15.75" customHeight="1">
      <c r="A886" s="10">
        <v>885.0</v>
      </c>
      <c r="B886" s="3" t="s">
        <v>2245</v>
      </c>
      <c r="C886" s="3" t="s">
        <v>1228</v>
      </c>
      <c r="D886" s="11" t="s">
        <v>2627</v>
      </c>
      <c r="E886" s="10">
        <v>5.70056544805E11</v>
      </c>
      <c r="F886" s="3" t="s">
        <v>2628</v>
      </c>
      <c r="G886" s="3" t="s">
        <v>197</v>
      </c>
      <c r="H886" s="12" t="s">
        <v>2501</v>
      </c>
      <c r="I886" s="3"/>
      <c r="J886" s="3"/>
      <c r="K886" s="3" t="s">
        <v>89</v>
      </c>
      <c r="L886" s="3"/>
      <c r="M886" s="3"/>
      <c r="N886" s="3"/>
      <c r="O886" s="3"/>
      <c r="P886" s="3"/>
      <c r="Q886" s="3"/>
    </row>
    <row r="887" ht="15.75" customHeight="1">
      <c r="A887" s="10">
        <v>886.0</v>
      </c>
      <c r="B887" s="3" t="s">
        <v>2629</v>
      </c>
      <c r="C887" s="3" t="s">
        <v>2630</v>
      </c>
      <c r="D887" s="11" t="s">
        <v>2631</v>
      </c>
      <c r="E887" s="10">
        <v>5.70056544746E11</v>
      </c>
      <c r="F887" s="3" t="s">
        <v>2632</v>
      </c>
      <c r="G887" s="3" t="s">
        <v>12</v>
      </c>
      <c r="H887" s="12" t="s">
        <v>2501</v>
      </c>
      <c r="I887" s="3"/>
      <c r="J887" s="3"/>
      <c r="K887" s="3"/>
      <c r="L887" s="3"/>
      <c r="M887" s="3"/>
      <c r="N887" s="3"/>
      <c r="O887" s="3"/>
      <c r="P887" s="3"/>
      <c r="Q887" s="3"/>
    </row>
    <row r="888" ht="15.75" customHeight="1">
      <c r="A888" s="10">
        <v>887.0</v>
      </c>
      <c r="B888" s="3" t="s">
        <v>2630</v>
      </c>
      <c r="C888" s="3" t="s">
        <v>2633</v>
      </c>
      <c r="D888" s="11" t="s">
        <v>2634</v>
      </c>
      <c r="E888" s="10">
        <v>5.70056544748E11</v>
      </c>
      <c r="F888" s="3" t="s">
        <v>2635</v>
      </c>
      <c r="G888" s="3" t="s">
        <v>12</v>
      </c>
      <c r="H888" s="12" t="s">
        <v>2501</v>
      </c>
      <c r="I888" s="3"/>
      <c r="J888" s="3"/>
      <c r="K888" s="3"/>
      <c r="L888" s="3"/>
      <c r="M888" s="3"/>
      <c r="N888" s="3"/>
      <c r="O888" s="3"/>
      <c r="P888" s="3"/>
      <c r="Q888" s="3"/>
    </row>
    <row r="889" ht="15.75" customHeight="1">
      <c r="A889" s="10">
        <v>888.0</v>
      </c>
      <c r="B889" s="3" t="s">
        <v>2636</v>
      </c>
      <c r="C889" s="3" t="s">
        <v>1986</v>
      </c>
      <c r="D889" s="11" t="s">
        <v>2637</v>
      </c>
      <c r="E889" s="10">
        <v>5.70056544808E11</v>
      </c>
      <c r="F889" s="3" t="s">
        <v>2638</v>
      </c>
      <c r="G889" s="3" t="s">
        <v>62</v>
      </c>
      <c r="H889" s="12" t="s">
        <v>2639</v>
      </c>
      <c r="I889" s="3"/>
      <c r="J889" s="3"/>
      <c r="K889" s="3"/>
      <c r="L889" s="3"/>
      <c r="M889" s="3"/>
      <c r="N889" s="3"/>
      <c r="O889" s="3"/>
      <c r="P889" s="3"/>
      <c r="Q889" s="3"/>
    </row>
    <row r="890" ht="15.75" customHeight="1">
      <c r="A890" s="10">
        <v>889.0</v>
      </c>
      <c r="B890" s="3" t="s">
        <v>2640</v>
      </c>
      <c r="C890" s="3" t="s">
        <v>2641</v>
      </c>
      <c r="D890" s="11" t="s">
        <v>2346</v>
      </c>
      <c r="E890" s="10">
        <v>5.70056544813E11</v>
      </c>
      <c r="F890" s="3" t="s">
        <v>2642</v>
      </c>
      <c r="G890" s="3" t="s">
        <v>1433</v>
      </c>
      <c r="H890" s="12" t="s">
        <v>2501</v>
      </c>
      <c r="I890" s="3"/>
      <c r="J890" s="3"/>
      <c r="K890" s="3"/>
      <c r="L890" s="3"/>
      <c r="M890" s="3"/>
      <c r="N890" s="3"/>
      <c r="O890" s="3"/>
      <c r="P890" s="3"/>
      <c r="Q890" s="3"/>
    </row>
    <row r="891" ht="15.75" customHeight="1">
      <c r="A891" s="10">
        <v>890.0</v>
      </c>
      <c r="B891" s="3" t="s">
        <v>2643</v>
      </c>
      <c r="C891" s="3" t="s">
        <v>2215</v>
      </c>
      <c r="D891" s="11" t="s">
        <v>2644</v>
      </c>
      <c r="E891" s="10">
        <v>5.70056544815E11</v>
      </c>
      <c r="F891" s="3" t="s">
        <v>2645</v>
      </c>
      <c r="G891" s="3" t="s">
        <v>62</v>
      </c>
      <c r="H891" s="12" t="s">
        <v>2501</v>
      </c>
      <c r="I891" s="3"/>
      <c r="J891" s="3"/>
      <c r="K891" s="3"/>
      <c r="L891" s="3"/>
      <c r="M891" s="3"/>
      <c r="N891" s="3"/>
      <c r="O891" s="3"/>
      <c r="P891" s="3"/>
      <c r="Q891" s="3"/>
    </row>
    <row r="892" ht="15.75" customHeight="1">
      <c r="A892" s="10">
        <v>891.0</v>
      </c>
      <c r="B892" s="3" t="s">
        <v>2646</v>
      </c>
      <c r="C892" s="3" t="s">
        <v>1985</v>
      </c>
      <c r="D892" s="11" t="s">
        <v>2647</v>
      </c>
      <c r="E892" s="10">
        <v>5.70056000548E11</v>
      </c>
      <c r="F892" s="3" t="s">
        <v>2648</v>
      </c>
      <c r="G892" s="3" t="s">
        <v>50</v>
      </c>
      <c r="H892" s="12" t="s">
        <v>2501</v>
      </c>
      <c r="I892" s="3"/>
      <c r="J892" s="3"/>
      <c r="K892" s="3"/>
      <c r="L892" s="3"/>
      <c r="M892" s="3"/>
      <c r="N892" s="3"/>
      <c r="O892" s="3"/>
      <c r="P892" s="3"/>
      <c r="Q892" s="3"/>
    </row>
    <row r="893" ht="15.75" customHeight="1">
      <c r="A893" s="10">
        <v>892.0</v>
      </c>
      <c r="B893" s="3" t="s">
        <v>2649</v>
      </c>
      <c r="C893" s="3" t="s">
        <v>2650</v>
      </c>
      <c r="D893" s="11" t="s">
        <v>1828</v>
      </c>
      <c r="E893" s="10">
        <v>5.70056000551E11</v>
      </c>
      <c r="F893" s="3" t="s">
        <v>2651</v>
      </c>
      <c r="G893" s="3" t="s">
        <v>50</v>
      </c>
      <c r="H893" s="12" t="s">
        <v>2652</v>
      </c>
      <c r="I893" s="3"/>
      <c r="J893" s="3"/>
      <c r="K893" s="3" t="s">
        <v>89</v>
      </c>
      <c r="L893" s="3"/>
      <c r="M893" s="3"/>
      <c r="N893" s="3"/>
      <c r="O893" s="3"/>
      <c r="P893" s="3"/>
      <c r="Q893" s="3"/>
    </row>
    <row r="894" ht="15.75" customHeight="1">
      <c r="A894" s="10">
        <v>893.0</v>
      </c>
      <c r="B894" s="3" t="s">
        <v>2653</v>
      </c>
      <c r="C894" s="3" t="s">
        <v>214</v>
      </c>
      <c r="D894" s="11" t="s">
        <v>2654</v>
      </c>
      <c r="E894" s="10">
        <v>5.70056000552E11</v>
      </c>
      <c r="F894" s="3" t="s">
        <v>2655</v>
      </c>
      <c r="G894" s="3" t="s">
        <v>50</v>
      </c>
      <c r="H894" s="12" t="s">
        <v>2501</v>
      </c>
      <c r="I894" s="3"/>
      <c r="J894" s="3"/>
      <c r="K894" s="3" t="s">
        <v>89</v>
      </c>
      <c r="L894" s="3"/>
      <c r="M894" s="3"/>
      <c r="N894" s="3"/>
      <c r="O894" s="3"/>
      <c r="P894" s="3"/>
      <c r="Q894" s="3"/>
    </row>
    <row r="895" ht="15.75" customHeight="1">
      <c r="A895" s="10">
        <v>894.0</v>
      </c>
      <c r="B895" s="3" t="s">
        <v>2656</v>
      </c>
      <c r="C895" s="3" t="s">
        <v>1103</v>
      </c>
      <c r="D895" s="11" t="s">
        <v>470</v>
      </c>
      <c r="E895" s="10">
        <v>5.70056000553E11</v>
      </c>
      <c r="F895" s="3" t="s">
        <v>2657</v>
      </c>
      <c r="G895" s="3" t="s">
        <v>37</v>
      </c>
      <c r="H895" s="12" t="s">
        <v>2501</v>
      </c>
      <c r="I895" s="3"/>
      <c r="J895" s="3"/>
      <c r="K895" s="3" t="s">
        <v>89</v>
      </c>
      <c r="L895" s="3"/>
      <c r="M895" s="3"/>
      <c r="N895" s="3"/>
      <c r="O895" s="3"/>
      <c r="P895" s="3"/>
      <c r="Q895" s="3"/>
    </row>
    <row r="896" ht="15.75" customHeight="1">
      <c r="A896" s="10">
        <v>895.0</v>
      </c>
      <c r="B896" s="3" t="s">
        <v>2658</v>
      </c>
      <c r="C896" s="3" t="s">
        <v>2659</v>
      </c>
      <c r="D896" s="11" t="s">
        <v>2654</v>
      </c>
      <c r="E896" s="10">
        <v>5.70056000556E11</v>
      </c>
      <c r="F896" s="3" t="s">
        <v>2660</v>
      </c>
      <c r="G896" s="3" t="s">
        <v>651</v>
      </c>
      <c r="H896" s="12" t="s">
        <v>2501</v>
      </c>
      <c r="I896" s="3"/>
      <c r="J896" s="3"/>
      <c r="K896" s="3" t="s">
        <v>89</v>
      </c>
      <c r="L896" s="3"/>
      <c r="M896" s="3"/>
      <c r="N896" s="3"/>
      <c r="O896" s="3"/>
      <c r="P896" s="3"/>
      <c r="Q896" s="3"/>
    </row>
    <row r="897" ht="15.75" customHeight="1">
      <c r="A897" s="10">
        <v>896.0</v>
      </c>
      <c r="B897" s="3" t="s">
        <v>2661</v>
      </c>
      <c r="C897" s="3" t="s">
        <v>2662</v>
      </c>
      <c r="D897" s="11" t="s">
        <v>2663</v>
      </c>
      <c r="E897" s="10">
        <v>5.70056000558E11</v>
      </c>
      <c r="F897" s="3" t="s">
        <v>2664</v>
      </c>
      <c r="G897" s="3" t="s">
        <v>197</v>
      </c>
      <c r="H897" s="12" t="s">
        <v>2501</v>
      </c>
      <c r="I897" s="3"/>
      <c r="J897" s="3"/>
      <c r="K897" s="3"/>
      <c r="L897" s="3"/>
      <c r="M897" s="3"/>
      <c r="N897" s="3"/>
      <c r="O897" s="3"/>
      <c r="P897" s="3"/>
      <c r="Q897" s="3"/>
    </row>
    <row r="898" ht="15.75" customHeight="1">
      <c r="A898" s="10">
        <v>897.0</v>
      </c>
      <c r="B898" s="3" t="s">
        <v>2665</v>
      </c>
      <c r="C898" s="3" t="s">
        <v>482</v>
      </c>
      <c r="D898" s="11" t="s">
        <v>2189</v>
      </c>
      <c r="E898" s="10">
        <v>5.70056000559E11</v>
      </c>
      <c r="F898" s="3" t="s">
        <v>2666</v>
      </c>
      <c r="G898" s="3" t="s">
        <v>50</v>
      </c>
      <c r="H898" s="12" t="s">
        <v>2501</v>
      </c>
      <c r="I898" s="3"/>
      <c r="J898" s="3"/>
      <c r="K898" s="3" t="s">
        <v>89</v>
      </c>
      <c r="L898" s="3"/>
      <c r="M898" s="3"/>
      <c r="N898" s="3"/>
      <c r="O898" s="3"/>
      <c r="P898" s="3"/>
      <c r="Q898" s="3"/>
    </row>
    <row r="899" ht="15.75" customHeight="1">
      <c r="A899" s="10">
        <v>898.0</v>
      </c>
      <c r="B899" s="3" t="s">
        <v>2667</v>
      </c>
      <c r="C899" s="3" t="s">
        <v>1069</v>
      </c>
      <c r="D899" s="11" t="s">
        <v>1477</v>
      </c>
      <c r="E899" s="10">
        <v>5.7005600056E11</v>
      </c>
      <c r="F899" s="3" t="s">
        <v>2668</v>
      </c>
      <c r="G899" s="3" t="s">
        <v>12</v>
      </c>
      <c r="H899" s="12" t="s">
        <v>2501</v>
      </c>
      <c r="I899" s="3"/>
      <c r="J899" s="3"/>
      <c r="K899" s="3" t="s">
        <v>89</v>
      </c>
      <c r="L899" s="3"/>
      <c r="M899" s="3"/>
      <c r="N899" s="3"/>
      <c r="O899" s="3"/>
      <c r="P899" s="3"/>
      <c r="Q899" s="3"/>
    </row>
    <row r="900" ht="15.75" customHeight="1">
      <c r="A900" s="10">
        <v>899.0</v>
      </c>
      <c r="B900" s="3" t="s">
        <v>2669</v>
      </c>
      <c r="C900" s="3" t="s">
        <v>2670</v>
      </c>
      <c r="D900" s="11" t="s">
        <v>182</v>
      </c>
      <c r="E900" s="10">
        <v>5.70056544807E11</v>
      </c>
      <c r="F900" s="3" t="s">
        <v>2671</v>
      </c>
      <c r="G900" s="3" t="s">
        <v>197</v>
      </c>
      <c r="H900" s="12" t="s">
        <v>2672</v>
      </c>
      <c r="I900" s="3"/>
      <c r="J900" s="3"/>
      <c r="K900" s="3"/>
      <c r="L900" s="3"/>
      <c r="M900" s="3"/>
      <c r="N900" s="3"/>
      <c r="O900" s="3"/>
      <c r="P900" s="3"/>
      <c r="Q900" s="3"/>
    </row>
    <row r="901" ht="15.75" customHeight="1">
      <c r="A901" s="10">
        <v>900.0</v>
      </c>
      <c r="B901" s="3" t="s">
        <v>2673</v>
      </c>
      <c r="C901" s="3" t="s">
        <v>2674</v>
      </c>
      <c r="D901" s="11" t="s">
        <v>2675</v>
      </c>
      <c r="E901" s="10">
        <v>5.7005654481E11</v>
      </c>
      <c r="F901" s="3" t="s">
        <v>2676</v>
      </c>
      <c r="G901" s="3" t="s">
        <v>197</v>
      </c>
      <c r="H901" s="12" t="s">
        <v>2677</v>
      </c>
      <c r="I901" s="3"/>
      <c r="J901" s="3"/>
      <c r="K901" s="3"/>
      <c r="L901" s="3"/>
      <c r="M901" s="3"/>
      <c r="N901" s="3"/>
      <c r="O901" s="3"/>
      <c r="P901" s="3"/>
      <c r="Q901" s="3"/>
    </row>
    <row r="902" ht="15.75" customHeight="1">
      <c r="A902" s="10">
        <v>901.0</v>
      </c>
      <c r="B902" s="3" t="s">
        <v>2678</v>
      </c>
      <c r="C902" s="3" t="s">
        <v>2597</v>
      </c>
      <c r="D902" s="11" t="s">
        <v>2598</v>
      </c>
      <c r="E902" s="10">
        <v>5.70056544812E11</v>
      </c>
      <c r="F902" s="3" t="s">
        <v>2679</v>
      </c>
      <c r="G902" s="3" t="s">
        <v>651</v>
      </c>
      <c r="H902" s="12" t="s">
        <v>2680</v>
      </c>
      <c r="I902" s="3"/>
      <c r="J902" s="3"/>
      <c r="K902" s="3"/>
      <c r="L902" s="3"/>
      <c r="M902" s="3"/>
      <c r="N902" s="3"/>
      <c r="O902" s="3"/>
      <c r="P902" s="3"/>
      <c r="Q902" s="3"/>
    </row>
    <row r="903" ht="15.75" customHeight="1">
      <c r="A903" s="10">
        <v>902.0</v>
      </c>
      <c r="B903" s="3" t="s">
        <v>2681</v>
      </c>
      <c r="C903" s="3" t="s">
        <v>2682</v>
      </c>
      <c r="D903" s="11" t="s">
        <v>2683</v>
      </c>
      <c r="E903" s="10">
        <v>5.70056544821E11</v>
      </c>
      <c r="F903" s="3" t="s">
        <v>2684</v>
      </c>
      <c r="G903" s="3" t="s">
        <v>197</v>
      </c>
      <c r="H903" s="12" t="s">
        <v>2685</v>
      </c>
      <c r="I903" s="3"/>
      <c r="J903" s="3"/>
      <c r="K903" s="3"/>
      <c r="L903" s="3"/>
      <c r="M903" s="3"/>
      <c r="N903" s="3"/>
      <c r="O903" s="3"/>
      <c r="P903" s="3"/>
      <c r="Q903" s="3"/>
    </row>
    <row r="904" ht="15.75" customHeight="1">
      <c r="A904" s="10">
        <v>903.0</v>
      </c>
      <c r="B904" s="3" t="s">
        <v>801</v>
      </c>
      <c r="C904" s="3" t="s">
        <v>2686</v>
      </c>
      <c r="D904" s="11" t="s">
        <v>1192</v>
      </c>
      <c r="E904" s="10">
        <v>5.70056544819E11</v>
      </c>
      <c r="F904" s="3" t="s">
        <v>2687</v>
      </c>
      <c r="G904" s="3" t="s">
        <v>197</v>
      </c>
      <c r="H904" s="12" t="s">
        <v>2501</v>
      </c>
      <c r="I904" s="3"/>
      <c r="J904" s="3"/>
      <c r="K904" s="3"/>
      <c r="L904" s="3"/>
      <c r="M904" s="3"/>
      <c r="N904" s="3"/>
      <c r="O904" s="3"/>
      <c r="P904" s="3"/>
      <c r="Q904" s="3"/>
    </row>
    <row r="905" ht="15.75" customHeight="1">
      <c r="A905" s="10">
        <v>904.0</v>
      </c>
      <c r="B905" s="3" t="s">
        <v>2122</v>
      </c>
      <c r="C905" s="3" t="s">
        <v>252</v>
      </c>
      <c r="D905" s="11" t="s">
        <v>2198</v>
      </c>
      <c r="E905" s="10">
        <v>5.70056544822E11</v>
      </c>
      <c r="F905" s="3" t="s">
        <v>2688</v>
      </c>
      <c r="G905" s="3" t="s">
        <v>197</v>
      </c>
      <c r="H905" s="12" t="s">
        <v>2689</v>
      </c>
      <c r="I905" s="3"/>
      <c r="J905" s="3"/>
      <c r="K905" s="3"/>
      <c r="L905" s="3"/>
      <c r="M905" s="3"/>
      <c r="N905" s="3"/>
      <c r="O905" s="3"/>
      <c r="P905" s="3"/>
      <c r="Q905" s="3"/>
    </row>
    <row r="906" ht="15.75" customHeight="1">
      <c r="A906" s="10">
        <v>905.0</v>
      </c>
      <c r="B906" s="3" t="s">
        <v>2690</v>
      </c>
      <c r="C906" s="3" t="s">
        <v>1147</v>
      </c>
      <c r="D906" s="11" t="s">
        <v>2691</v>
      </c>
      <c r="E906" s="10">
        <v>5.70056544823E11</v>
      </c>
      <c r="F906" s="3" t="s">
        <v>2692</v>
      </c>
      <c r="G906" s="3" t="s">
        <v>197</v>
      </c>
      <c r="H906" s="12" t="s">
        <v>2693</v>
      </c>
      <c r="I906" s="3"/>
      <c r="J906" s="3"/>
      <c r="K906" s="3"/>
      <c r="L906" s="3"/>
      <c r="M906" s="3"/>
      <c r="N906" s="3"/>
      <c r="O906" s="3"/>
      <c r="P906" s="3"/>
      <c r="Q906" s="3"/>
    </row>
    <row r="907" ht="15.75" customHeight="1">
      <c r="A907" s="3"/>
      <c r="B907" s="3"/>
      <c r="C907" s="3"/>
      <c r="D907" s="11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ht="15.75" customHeight="1">
      <c r="A908" s="3"/>
      <c r="B908" s="3"/>
      <c r="C908" s="3"/>
      <c r="D908" s="11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ht="15.75" customHeight="1">
      <c r="A909" s="3"/>
      <c r="B909" s="3"/>
      <c r="C909" s="3"/>
      <c r="D909" s="11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</cols>
  <sheetData>
    <row r="1">
      <c r="A1" s="24" t="s">
        <v>2694</v>
      </c>
      <c r="B1" s="25" t="str">
        <f>IFERROR(__xludf.DUMMYFUNCTION("SPLIT(A1,"","")"),"ক্রমিক নং")</f>
        <v>ক্রমিক নং</v>
      </c>
      <c r="C1" s="25" t="str">
        <f>IFERROR(__xludf.DUMMYFUNCTION("""COMPUTED_VALUE"""),"নাম")</f>
        <v>নাম</v>
      </c>
      <c r="D1" s="25" t="str">
        <f>IFERROR(__xludf.DUMMYFUNCTION("""COMPUTED_VALUE"""),"ভোটার নং")</f>
        <v>ভোটার নং</v>
      </c>
      <c r="E1" s="25" t="str">
        <f>IFERROR(__xludf.DUMMYFUNCTION("""COMPUTED_VALUE"""),"পিতা")</f>
        <v>পিতা</v>
      </c>
      <c r="F1" s="25" t="str">
        <f>IFERROR(__xludf.DUMMYFUNCTION("""COMPUTED_VALUE"""),"মাতা")</f>
        <v>মাতা</v>
      </c>
      <c r="G1" s="25" t="str">
        <f>IFERROR(__xludf.DUMMYFUNCTION("""COMPUTED_VALUE"""),"জন্ম তারিখ")</f>
        <v>জন্ম তারিখ</v>
      </c>
      <c r="H1" s="25" t="str">
        <f>IFERROR(__xludf.DUMMYFUNCTION("""COMPUTED_VALUE"""),"পেশা")</f>
        <v>পেশা</v>
      </c>
      <c r="I1" s="25" t="str">
        <f>IFERROR(__xludf.DUMMYFUNCTION("""COMPUTED_VALUE"""),"ঠিকানা")</f>
        <v>ঠিকানা</v>
      </c>
    </row>
    <row r="2">
      <c r="A2" s="24" t="s">
        <v>2695</v>
      </c>
      <c r="B2" s="25">
        <f>IFERROR(__xludf.DUMMYFUNCTION("SPLIT(A2,"","")"),106.0)</f>
        <v>106</v>
      </c>
      <c r="C2" s="25" t="str">
        <f>IFERROR(__xludf.DUMMYFUNCTION("""COMPUTED_VALUE"""),"মোঃ শহিদুল ইসলাম")</f>
        <v>মোঃ শহিদুল ইসলাম</v>
      </c>
      <c r="D2" s="25">
        <f>IFERROR(__xludf.DUMMYFUNCTION("""COMPUTED_VALUE"""),5.70156377828E11)</f>
        <v>570156377828</v>
      </c>
      <c r="E2" s="25" t="str">
        <f>IFERROR(__xludf.DUMMYFUNCTION("""COMPUTED_VALUE"""),"মোহাঃ ছলেমান মন্ডল")</f>
        <v>মোহাঃ ছলেমান মন্ডল</v>
      </c>
      <c r="F2" s="25" t="str">
        <f>IFERROR(__xludf.DUMMYFUNCTION("""COMPUTED_VALUE"""),"মোছাঃ রহিমা")</f>
        <v>মোছাঃ রহিমা</v>
      </c>
      <c r="G2" s="25" t="str">
        <f>IFERROR(__xludf.DUMMYFUNCTION("""COMPUTED_VALUE"""),"১৫/০৫/১৯৮৭")</f>
        <v>১৫/০৫/১৯৮৭</v>
      </c>
      <c r="H2" s="25" t="str">
        <f>IFERROR(__xludf.DUMMYFUNCTION("""COMPUTED_VALUE"""),"কৃষক")</f>
        <v>কৃষক</v>
      </c>
      <c r="I2" s="25" t="str">
        <f>IFERROR(__xludf.DUMMYFUNCTION("""COMPUTED_VALUE"""),"""জালশুকা উত্তর পাড়া")</f>
        <v>"জালশুকা উত্তর পাড়া</v>
      </c>
      <c r="J2" s="25" t="str">
        <f>IFERROR(__xludf.DUMMYFUNCTION("""COMPUTED_VALUE""")," গাংনী")</f>
        <v> গাংনী</v>
      </c>
      <c r="K2" s="25" t="str">
        <f>IFERROR(__xludf.DUMMYFUNCTION("""COMPUTED_VALUE""")," মেহেরপুর""")</f>
        <v> মেহেরপুর"</v>
      </c>
    </row>
    <row r="3">
      <c r="A3" s="24" t="s">
        <v>2696</v>
      </c>
      <c r="B3" s="25">
        <f>IFERROR(__xludf.DUMMYFUNCTION("SPLIT(A3,"","")"),107.0)</f>
        <v>107</v>
      </c>
      <c r="C3" s="25" t="str">
        <f>IFERROR(__xludf.DUMMYFUNCTION("""COMPUTED_VALUE"""),"মোঃ সুলতান")</f>
        <v>মোঃ সুলতান</v>
      </c>
      <c r="D3" s="25">
        <f>IFERROR(__xludf.DUMMYFUNCTION("""COMPUTED_VALUE"""),5.70156377835E11)</f>
        <v>570156377835</v>
      </c>
      <c r="E3" s="25" t="str">
        <f>IFERROR(__xludf.DUMMYFUNCTION("""COMPUTED_VALUE"""),"তৈজদ্দিন")</f>
        <v>তৈজদ্দিন</v>
      </c>
      <c r="F3" s="25" t="str">
        <f>IFERROR(__xludf.DUMMYFUNCTION("""COMPUTED_VALUE"""),"ছালেহা")</f>
        <v>ছালেহা</v>
      </c>
      <c r="G3" s="25" t="str">
        <f>IFERROR(__xludf.DUMMYFUNCTION("""COMPUTED_VALUE"""),"২২/০৫/১৯৫৭")</f>
        <v>২২/০৫/১৯৫৭</v>
      </c>
      <c r="H3" s="25" t="str">
        <f>IFERROR(__xludf.DUMMYFUNCTION("""COMPUTED_VALUE"""),"কৃষক")</f>
        <v>কৃষক</v>
      </c>
      <c r="I3" s="25" t="str">
        <f>IFERROR(__xludf.DUMMYFUNCTION("""COMPUTED_VALUE"""),"""জালশুকা উত্তর পাড়া")</f>
        <v>"জালশুকা উত্তর পাড়া</v>
      </c>
      <c r="J3" s="25" t="str">
        <f>IFERROR(__xludf.DUMMYFUNCTION("""COMPUTED_VALUE""")," গাংনী")</f>
        <v> গাংনী</v>
      </c>
      <c r="K3" s="25" t="str">
        <f>IFERROR(__xludf.DUMMYFUNCTION("""COMPUTED_VALUE""")," মেহেরপুর""")</f>
        <v> মেহেরপুর"</v>
      </c>
    </row>
    <row r="4">
      <c r="A4" s="24" t="s">
        <v>2697</v>
      </c>
      <c r="B4" s="25">
        <f>IFERROR(__xludf.DUMMYFUNCTION("SPLIT(A4,"","")"),108.0)</f>
        <v>108</v>
      </c>
      <c r="C4" s="25" t="str">
        <f>IFERROR(__xludf.DUMMYFUNCTION("""COMPUTED_VALUE"""),"মোঃ বিল্টু আলী")</f>
        <v>মোঃ বিল্টু আলী</v>
      </c>
      <c r="D4" s="25">
        <f>IFERROR(__xludf.DUMMYFUNCTION("""COMPUTED_VALUE"""),5.70156377838E11)</f>
        <v>570156377838</v>
      </c>
      <c r="E4" s="25" t="str">
        <f>IFERROR(__xludf.DUMMYFUNCTION("""COMPUTED_VALUE"""),"মোঃ আব্দুল জলিল")</f>
        <v>মোঃ আব্দুল জলিল</v>
      </c>
      <c r="F4" s="25" t="str">
        <f>IFERROR(__xludf.DUMMYFUNCTION("""COMPUTED_VALUE"""),"মোছাঃ রেজিয়া খাতুন")</f>
        <v>মোছাঃ রেজিয়া খাতুন</v>
      </c>
      <c r="G4" s="25" t="str">
        <f>IFERROR(__xludf.DUMMYFUNCTION("""COMPUTED_VALUE"""),"০৩/০৪/১৯৬৯")</f>
        <v>০৩/০৪/১৯৬৯</v>
      </c>
      <c r="H4" s="25" t="str">
        <f>IFERROR(__xludf.DUMMYFUNCTION("""COMPUTED_VALUE"""),"কৃষক")</f>
        <v>কৃষক</v>
      </c>
      <c r="I4" s="25" t="str">
        <f>IFERROR(__xludf.DUMMYFUNCTION("""COMPUTED_VALUE"""),"""জালশুকা")</f>
        <v>"জালশুকা</v>
      </c>
      <c r="J4" s="25" t="str">
        <f>IFERROR(__xludf.DUMMYFUNCTION("""COMPUTED_VALUE""")," গাংনী")</f>
        <v> গাংনী</v>
      </c>
      <c r="K4" s="25" t="str">
        <f>IFERROR(__xludf.DUMMYFUNCTION("""COMPUTED_VALUE""")," মেহেরপুর""")</f>
        <v> মেহেরপুর"</v>
      </c>
    </row>
    <row r="5">
      <c r="A5" s="24" t="s">
        <v>2698</v>
      </c>
      <c r="B5" s="25">
        <f>IFERROR(__xludf.DUMMYFUNCTION("SPLIT(A5,"","")"),109.0)</f>
        <v>109</v>
      </c>
      <c r="C5" s="25" t="str">
        <f>IFERROR(__xludf.DUMMYFUNCTION("""COMPUTED_VALUE"""),"মোঃ সেলিম রেজা")</f>
        <v>মোঃ সেলিম রেজা</v>
      </c>
      <c r="D5" s="25">
        <f>IFERROR(__xludf.DUMMYFUNCTION("""COMPUTED_VALUE"""),5.70156377841E11)</f>
        <v>570156377841</v>
      </c>
      <c r="E5" s="25" t="str">
        <f>IFERROR(__xludf.DUMMYFUNCTION("""COMPUTED_VALUE"""),"আজিজার বিশ্বাস")</f>
        <v>আজিজার বিশ্বাস</v>
      </c>
      <c r="F5" s="25" t="str">
        <f>IFERROR(__xludf.DUMMYFUNCTION("""COMPUTED_VALUE"""),"মোছাঃ জাহানারা খাতুন")</f>
        <v>মোছাঃ জাহানারা খাতুন</v>
      </c>
      <c r="G5" s="25" t="str">
        <f>IFERROR(__xludf.DUMMYFUNCTION("""COMPUTED_VALUE"""),"০৬/০৭/১৯৮২")</f>
        <v>০৬/০৭/১৯৮২</v>
      </c>
      <c r="H5" s="25" t="str">
        <f>IFERROR(__xludf.DUMMYFUNCTION("""COMPUTED_VALUE"""),"কৃষক")</f>
        <v>কৃষক</v>
      </c>
      <c r="I5" s="25" t="str">
        <f>IFERROR(__xludf.DUMMYFUNCTION("""COMPUTED_VALUE"""),"""জালশুকা")</f>
        <v>"জালশুকা</v>
      </c>
      <c r="J5" s="25" t="str">
        <f>IFERROR(__xludf.DUMMYFUNCTION("""COMPUTED_VALUE""")," গাংনী")</f>
        <v> গাংনী</v>
      </c>
      <c r="K5" s="25" t="str">
        <f>IFERROR(__xludf.DUMMYFUNCTION("""COMPUTED_VALUE""")," মেহেরপুর""")</f>
        <v> মেহেরপুর"</v>
      </c>
    </row>
    <row r="6">
      <c r="A6" s="24" t="s">
        <v>2699</v>
      </c>
      <c r="B6" s="25">
        <f>IFERROR(__xludf.DUMMYFUNCTION("SPLIT(A6,"","")"),110.0)</f>
        <v>110</v>
      </c>
      <c r="C6" s="25" t="str">
        <f>IFERROR(__xludf.DUMMYFUNCTION("""COMPUTED_VALUE"""),"মোঃ ইদ্রিস আলী")</f>
        <v>মোঃ ইদ্রিস আলী</v>
      </c>
      <c r="D6" s="25">
        <f>IFERROR(__xludf.DUMMYFUNCTION("""COMPUTED_VALUE"""),5.70156377842E11)</f>
        <v>570156377842</v>
      </c>
      <c r="E6" s="25" t="str">
        <f>IFERROR(__xludf.DUMMYFUNCTION("""COMPUTED_VALUE"""),"মোঃ রমছদ্দীন মন্ডল")</f>
        <v>মোঃ রমছদ্দীন মন্ডল</v>
      </c>
      <c r="F6" s="25" t="str">
        <f>IFERROR(__xludf.DUMMYFUNCTION("""COMPUTED_VALUE"""),"মালেকা খাতুন")</f>
        <v>মালেকা খাতুন</v>
      </c>
      <c r="G6" s="25" t="str">
        <f>IFERROR(__xludf.DUMMYFUNCTION("""COMPUTED_VALUE"""),"০৩/০৪/১৯৭৫")</f>
        <v>০৩/০৪/১৯৭৫</v>
      </c>
      <c r="H6" s="25" t="str">
        <f>IFERROR(__xludf.DUMMYFUNCTION("""COMPUTED_VALUE"""),"কৃষক")</f>
        <v>কৃষক</v>
      </c>
      <c r="I6" s="25" t="str">
        <f>IFERROR(__xludf.DUMMYFUNCTION("""COMPUTED_VALUE"""),"""জালশুকা")</f>
        <v>"জালশুকা</v>
      </c>
      <c r="J6" s="25" t="str">
        <f>IFERROR(__xludf.DUMMYFUNCTION("""COMPUTED_VALUE""")," গাংনী")</f>
        <v> গাংনী</v>
      </c>
      <c r="K6" s="25" t="str">
        <f>IFERROR(__xludf.DUMMYFUNCTION("""COMPUTED_VALUE""")," মেহেরপুর""")</f>
        <v> মেহেরপুর"</v>
      </c>
    </row>
    <row r="7">
      <c r="A7" s="24" t="s">
        <v>2700</v>
      </c>
      <c r="B7" s="25">
        <f>IFERROR(__xludf.DUMMYFUNCTION("SPLIT(A7,"","")"),111.0)</f>
        <v>111</v>
      </c>
      <c r="C7" s="25" t="str">
        <f>IFERROR(__xludf.DUMMYFUNCTION("""COMPUTED_VALUE"""),"মোঃ জামাল উদ্দীন")</f>
        <v>মোঃ জামাল উদ্দীন</v>
      </c>
      <c r="D7" s="25">
        <f>IFERROR(__xludf.DUMMYFUNCTION("""COMPUTED_VALUE"""),5.70156377845E11)</f>
        <v>570156377845</v>
      </c>
      <c r="E7" s="25" t="str">
        <f>IFERROR(__xludf.DUMMYFUNCTION("""COMPUTED_VALUE"""),"মোঃ আব্দুল জলিল")</f>
        <v>মোঃ আব্দুল জলিল</v>
      </c>
      <c r="F7" s="25" t="str">
        <f>IFERROR(__xludf.DUMMYFUNCTION("""COMPUTED_VALUE"""),"মোছাঃ রেজিয়া খাতুন")</f>
        <v>মোছাঃ রেজিয়া খাতুন</v>
      </c>
      <c r="G7" s="25" t="str">
        <f>IFERROR(__xludf.DUMMYFUNCTION("""COMPUTED_VALUE"""),"০২/০৩/১৯৬৭")</f>
        <v>০২/০৩/১৯৬৭</v>
      </c>
      <c r="H7" s="25" t="str">
        <f>IFERROR(__xludf.DUMMYFUNCTION("""COMPUTED_VALUE"""),"কৃষক")</f>
        <v>কৃষক</v>
      </c>
      <c r="I7" s="25" t="str">
        <f>IFERROR(__xludf.DUMMYFUNCTION("""COMPUTED_VALUE"""),"""জালশুকা")</f>
        <v>"জালশুকা</v>
      </c>
      <c r="J7" s="25" t="str">
        <f>IFERROR(__xludf.DUMMYFUNCTION("""COMPUTED_VALUE""")," গাংনী")</f>
        <v> গাংনী</v>
      </c>
      <c r="K7" s="25" t="str">
        <f>IFERROR(__xludf.DUMMYFUNCTION("""COMPUTED_VALUE""")," মেহেরপুর""")</f>
        <v> মেহেরপুর"</v>
      </c>
    </row>
    <row r="8">
      <c r="A8" s="24" t="s">
        <v>2701</v>
      </c>
      <c r="B8" s="25">
        <f>IFERROR(__xludf.DUMMYFUNCTION("SPLIT(A8,"","")"),112.0)</f>
        <v>112</v>
      </c>
      <c r="C8" s="25" t="str">
        <f>IFERROR(__xludf.DUMMYFUNCTION("""COMPUTED_VALUE"""),"মোঃ তরিকুল ইসলাম")</f>
        <v>মোঃ তরিকুল ইসলাম</v>
      </c>
      <c r="D8" s="25">
        <f>IFERROR(__xludf.DUMMYFUNCTION("""COMPUTED_VALUE"""),5.70156377846E11)</f>
        <v>570156377846</v>
      </c>
      <c r="E8" s="25" t="str">
        <f>IFERROR(__xludf.DUMMYFUNCTION("""COMPUTED_VALUE"""),"মোঃ আব্দুল আজিজ মুন্সী")</f>
        <v>মোঃ আব্দুল আজিজ মুন্সী</v>
      </c>
      <c r="F8" s="25" t="str">
        <f>IFERROR(__xludf.DUMMYFUNCTION("""COMPUTED_VALUE"""),"হানোয়ারা খাতুন")</f>
        <v>হানোয়ারা খাতুন</v>
      </c>
      <c r="G8" s="25" t="str">
        <f>IFERROR(__xludf.DUMMYFUNCTION("""COMPUTED_VALUE"""),"২১/০৬/১৯৭২")</f>
        <v>২১/০৬/১৯৭২</v>
      </c>
      <c r="H8" s="25" t="str">
        <f>IFERROR(__xludf.DUMMYFUNCTION("""COMPUTED_VALUE"""),"কৃষক")</f>
        <v>কৃষক</v>
      </c>
      <c r="I8" s="25" t="str">
        <f>IFERROR(__xludf.DUMMYFUNCTION("""COMPUTED_VALUE"""),"""জালশুকা")</f>
        <v>"জালশুকা</v>
      </c>
      <c r="J8" s="25" t="str">
        <f>IFERROR(__xludf.DUMMYFUNCTION("""COMPUTED_VALUE""")," গাংনী")</f>
        <v> গাংনী</v>
      </c>
      <c r="K8" s="25" t="str">
        <f>IFERROR(__xludf.DUMMYFUNCTION("""COMPUTED_VALUE""")," মেহেরপুর""")</f>
        <v> মেহেরপুর"</v>
      </c>
    </row>
    <row r="9">
      <c r="A9" s="24" t="s">
        <v>2702</v>
      </c>
      <c r="B9" s="25">
        <f>IFERROR(__xludf.DUMMYFUNCTION("SPLIT(A9,"","")"),113.0)</f>
        <v>113</v>
      </c>
      <c r="C9" s="25" t="str">
        <f>IFERROR(__xludf.DUMMYFUNCTION("""COMPUTED_VALUE"""),"মোঃ লুৎফর রহমান")</f>
        <v>মোঃ লুৎফর রহমান</v>
      </c>
      <c r="D9" s="25">
        <f>IFERROR(__xludf.DUMMYFUNCTION("""COMPUTED_VALUE"""),5.70156377849E11)</f>
        <v>570156377849</v>
      </c>
      <c r="E9" s="25" t="str">
        <f>IFERROR(__xludf.DUMMYFUNCTION("""COMPUTED_VALUE"""),"মোঃ আবু সিদ্দিক")</f>
        <v>মোঃ আবু সিদ্দিক</v>
      </c>
      <c r="F9" s="25" t="str">
        <f>IFERROR(__xludf.DUMMYFUNCTION("""COMPUTED_VALUE"""),"মোছাঃ রহিমা খাতুন")</f>
        <v>মোছাঃ রহিমা খাতুন</v>
      </c>
      <c r="G9" s="25" t="str">
        <f>IFERROR(__xludf.DUMMYFUNCTION("""COMPUTED_VALUE"""),"০২/০৩/১৯৭৫")</f>
        <v>০২/০৩/১৯৭৫</v>
      </c>
      <c r="H9" s="25" t="str">
        <f>IFERROR(__xludf.DUMMYFUNCTION("""COMPUTED_VALUE"""),"অন্যান্য")</f>
        <v>অন্যান্য</v>
      </c>
      <c r="I9" s="25" t="str">
        <f>IFERROR(__xludf.DUMMYFUNCTION("""COMPUTED_VALUE"""),"""জালশুকা")</f>
        <v>"জালশুকা</v>
      </c>
      <c r="J9" s="25" t="str">
        <f>IFERROR(__xludf.DUMMYFUNCTION("""COMPUTED_VALUE""")," গাংনী")</f>
        <v> গাংনী</v>
      </c>
      <c r="K9" s="25" t="str">
        <f>IFERROR(__xludf.DUMMYFUNCTION("""COMPUTED_VALUE""")," মেহেরপুর""")</f>
        <v> মেহেরপুর"</v>
      </c>
    </row>
    <row r="10">
      <c r="A10" s="24" t="s">
        <v>2703</v>
      </c>
      <c r="B10" s="25">
        <f>IFERROR(__xludf.DUMMYFUNCTION("SPLIT(A10,"","")"),114.0)</f>
        <v>114</v>
      </c>
      <c r="C10" s="25" t="str">
        <f>IFERROR(__xludf.DUMMYFUNCTION("""COMPUTED_VALUE"""),"মোঃ বদিরুজ্জামান")</f>
        <v>মোঃ বদিরুজ্জামান</v>
      </c>
      <c r="D10" s="25">
        <f>IFERROR(__xludf.DUMMYFUNCTION("""COMPUTED_VALUE"""),5.7015637785E11)</f>
        <v>570156377850</v>
      </c>
      <c r="E10" s="25" t="str">
        <f>IFERROR(__xludf.DUMMYFUNCTION("""COMPUTED_VALUE"""),"মোঃ বজলুল হক")</f>
        <v>মোঃ বজলুল হক</v>
      </c>
      <c r="F10" s="25" t="str">
        <f>IFERROR(__xludf.DUMMYFUNCTION("""COMPUTED_VALUE"""),"মোছাঃ জাহানারা খাতুন")</f>
        <v>মোছাঃ জাহানারা খাতুন</v>
      </c>
      <c r="G10" s="25" t="str">
        <f>IFERROR(__xludf.DUMMYFUNCTION("""COMPUTED_VALUE"""),"০১/০১/১৯৮৬")</f>
        <v>০১/০১/১৯৮৬</v>
      </c>
      <c r="H10" s="25" t="str">
        <f>IFERROR(__xludf.DUMMYFUNCTION("""COMPUTED_VALUE"""),"ছাত্র/ছাত্রী")</f>
        <v>ছাত্র/ছাত্রী</v>
      </c>
      <c r="I10" s="25" t="str">
        <f>IFERROR(__xludf.DUMMYFUNCTION("""COMPUTED_VALUE"""),"""জালশুকা")</f>
        <v>"জালশুকা</v>
      </c>
      <c r="J10" s="25" t="str">
        <f>IFERROR(__xludf.DUMMYFUNCTION("""COMPUTED_VALUE""")," গাংনী")</f>
        <v> গাংনী</v>
      </c>
      <c r="K10" s="25" t="str">
        <f>IFERROR(__xludf.DUMMYFUNCTION("""COMPUTED_VALUE""")," মেহেরপুর""")</f>
        <v> মেহেরপুর"</v>
      </c>
    </row>
    <row r="11">
      <c r="A11" s="24" t="s">
        <v>2704</v>
      </c>
      <c r="B11" s="25">
        <f>IFERROR(__xludf.DUMMYFUNCTION("SPLIT(A11,"","")"),115.0)</f>
        <v>115</v>
      </c>
      <c r="C11" s="25" t="str">
        <f>IFERROR(__xludf.DUMMYFUNCTION("""COMPUTED_VALUE"""),"মোঃ ঠান্ডু")</f>
        <v>মোঃ ঠান্ডু</v>
      </c>
      <c r="D11" s="25">
        <f>IFERROR(__xludf.DUMMYFUNCTION("""COMPUTED_VALUE"""),5.70156377851E11)</f>
        <v>570156377851</v>
      </c>
      <c r="E11" s="25" t="str">
        <f>IFERROR(__xludf.DUMMYFUNCTION("""COMPUTED_VALUE"""),"মোহাঃ মজিবর রহমান")</f>
        <v>মোহাঃ মজিবর রহমান</v>
      </c>
      <c r="F11" s="25" t="str">
        <f>IFERROR(__xludf.DUMMYFUNCTION("""COMPUTED_VALUE"""),"মোছাঃ ময়না")</f>
        <v>মোছাঃ ময়না</v>
      </c>
      <c r="G11" s="25" t="str">
        <f>IFERROR(__xludf.DUMMYFUNCTION("""COMPUTED_VALUE"""),"১৪/১০/১৯৬১")</f>
        <v>১৪/১০/১৯৬১</v>
      </c>
      <c r="H11" s="25" t="str">
        <f>IFERROR(__xludf.DUMMYFUNCTION("""COMPUTED_VALUE"""),"কৃষক")</f>
        <v>কৃষক</v>
      </c>
      <c r="I11" s="25" t="str">
        <f>IFERROR(__xludf.DUMMYFUNCTION("""COMPUTED_VALUE"""),"""জালশুকা")</f>
        <v>"জালশুকা</v>
      </c>
      <c r="J11" s="25" t="str">
        <f>IFERROR(__xludf.DUMMYFUNCTION("""COMPUTED_VALUE""")," গাংনী")</f>
        <v> গাংনী</v>
      </c>
      <c r="K11" s="25" t="str">
        <f>IFERROR(__xludf.DUMMYFUNCTION("""COMPUTED_VALUE""")," মেহেরপুর""")</f>
        <v> মেহেরপুর"</v>
      </c>
    </row>
    <row r="12">
      <c r="A12" s="24" t="s">
        <v>2705</v>
      </c>
      <c r="B12" s="25">
        <f>IFERROR(__xludf.DUMMYFUNCTION("SPLIT(A12,"","")"),116.0)</f>
        <v>116</v>
      </c>
      <c r="C12" s="25" t="str">
        <f>IFERROR(__xludf.DUMMYFUNCTION("""COMPUTED_VALUE"""),"মোঃ আনারুল হক")</f>
        <v>মোঃ আনারুল হক</v>
      </c>
      <c r="D12" s="25">
        <f>IFERROR(__xludf.DUMMYFUNCTION("""COMPUTED_VALUE"""),5.70156377852E11)</f>
        <v>570156377852</v>
      </c>
      <c r="E12" s="25" t="str">
        <f>IFERROR(__xludf.DUMMYFUNCTION("""COMPUTED_VALUE"""),"মোঃ মনিরুদ্দীন")</f>
        <v>মোঃ মনিরুদ্দীন</v>
      </c>
      <c r="F12" s="25" t="str">
        <f>IFERROR(__xludf.DUMMYFUNCTION("""COMPUTED_VALUE"""),"মোছাঃ রোকিয়া খাতুন")</f>
        <v>মোছাঃ রোকিয়া খাতুন</v>
      </c>
      <c r="G12" s="25" t="str">
        <f>IFERROR(__xludf.DUMMYFUNCTION("""COMPUTED_VALUE"""),"২০/১০/১৯৭৫")</f>
        <v>২০/১০/১৯৭৫</v>
      </c>
      <c r="H12" s="25" t="str">
        <f>IFERROR(__xludf.DUMMYFUNCTION("""COMPUTED_VALUE"""),"ব্যবসা")</f>
        <v>ব্যবসা</v>
      </c>
      <c r="I12" s="25" t="str">
        <f>IFERROR(__xludf.DUMMYFUNCTION("""COMPUTED_VALUE"""),"""জালশুকা")</f>
        <v>"জালশুকা</v>
      </c>
      <c r="J12" s="25" t="str">
        <f>IFERROR(__xludf.DUMMYFUNCTION("""COMPUTED_VALUE""")," গাংনী")</f>
        <v> গাংনী</v>
      </c>
      <c r="K12" s="25" t="str">
        <f>IFERROR(__xludf.DUMMYFUNCTION("""COMPUTED_VALUE""")," মেহেরপুর""")</f>
        <v> মেহেরপুর"</v>
      </c>
    </row>
    <row r="13">
      <c r="A13" s="24" t="s">
        <v>2706</v>
      </c>
      <c r="B13" s="25">
        <f>IFERROR(__xludf.DUMMYFUNCTION("SPLIT(A13,"","")"),117.0)</f>
        <v>117</v>
      </c>
      <c r="C13" s="25" t="str">
        <f>IFERROR(__xludf.DUMMYFUNCTION("""COMPUTED_VALUE"""),"মোঃ আলামিন হোসেন")</f>
        <v>মোঃ আলামিন হোসেন</v>
      </c>
      <c r="D13" s="25">
        <f>IFERROR(__xludf.DUMMYFUNCTION("""COMPUTED_VALUE"""),5.7015637786E11)</f>
        <v>570156377860</v>
      </c>
      <c r="E13" s="25" t="str">
        <f>IFERROR(__xludf.DUMMYFUNCTION("""COMPUTED_VALUE"""),"মোঃ রতন মন্ডল")</f>
        <v>মোঃ রতন মন্ডল</v>
      </c>
      <c r="F13" s="25" t="str">
        <f>IFERROR(__xludf.DUMMYFUNCTION("""COMPUTED_VALUE"""),"মোছাঃ তরিছন নেছা")</f>
        <v>মোছাঃ তরিছন নেছা</v>
      </c>
      <c r="G13" s="25" t="str">
        <f>IFERROR(__xludf.DUMMYFUNCTION("""COMPUTED_VALUE"""),"২২/০৫/১৯৭০")</f>
        <v>২২/০৫/১৯৭০</v>
      </c>
      <c r="H13" s="25" t="str">
        <f>IFERROR(__xludf.DUMMYFUNCTION("""COMPUTED_VALUE"""),"কৃষক")</f>
        <v>কৃষক</v>
      </c>
      <c r="I13" s="25" t="str">
        <f>IFERROR(__xludf.DUMMYFUNCTION("""COMPUTED_VALUE"""),"""জালশুকা")</f>
        <v>"জালশুকা</v>
      </c>
      <c r="J13" s="25" t="str">
        <f>IFERROR(__xludf.DUMMYFUNCTION("""COMPUTED_VALUE""")," গাংনী")</f>
        <v> গাংনী</v>
      </c>
      <c r="K13" s="25" t="str">
        <f>IFERROR(__xludf.DUMMYFUNCTION("""COMPUTED_VALUE""")," মেহেরপুর""")</f>
        <v> মেহেরপুর"</v>
      </c>
    </row>
    <row r="14">
      <c r="A14" s="24" t="s">
        <v>2707</v>
      </c>
      <c r="B14" s="25">
        <f>IFERROR(__xludf.DUMMYFUNCTION("SPLIT(A14,"","")"),118.0)</f>
        <v>118</v>
      </c>
      <c r="C14" s="25" t="str">
        <f>IFERROR(__xludf.DUMMYFUNCTION("""COMPUTED_VALUE"""),"মোঃ আব্দুল মালেক")</f>
        <v>মোঃ আব্দুল মালেক</v>
      </c>
      <c r="D14" s="25">
        <f>IFERROR(__xludf.DUMMYFUNCTION("""COMPUTED_VALUE"""),5.70156378004E11)</f>
        <v>570156378004</v>
      </c>
      <c r="E14" s="25" t="str">
        <f>IFERROR(__xludf.DUMMYFUNCTION("""COMPUTED_VALUE"""),"মোঃ শাজান আলী")</f>
        <v>মোঃ শাজান আলী</v>
      </c>
      <c r="F14" s="25" t="str">
        <f>IFERROR(__xludf.DUMMYFUNCTION("""COMPUTED_VALUE"""),"মোছাঃ রাশেদা খাতুন")</f>
        <v>মোছাঃ রাশেদা খাতুন</v>
      </c>
      <c r="G14" s="25" t="str">
        <f>IFERROR(__xludf.DUMMYFUNCTION("""COMPUTED_VALUE"""),"০১/১২/১৯৮০")</f>
        <v>০১/১২/১৯৮০</v>
      </c>
      <c r="H14" s="25" t="str">
        <f>IFERROR(__xludf.DUMMYFUNCTION("""COMPUTED_VALUE"""),"কৃষক")</f>
        <v>কৃষক</v>
      </c>
      <c r="I14" s="25" t="str">
        <f>IFERROR(__xludf.DUMMYFUNCTION("""COMPUTED_VALUE"""),"""জালশুকা")</f>
        <v>"জালশুকা</v>
      </c>
      <c r="J14" s="25" t="str">
        <f>IFERROR(__xludf.DUMMYFUNCTION("""COMPUTED_VALUE""")," গাংনী")</f>
        <v> গাংনী</v>
      </c>
      <c r="K14" s="25" t="str">
        <f>IFERROR(__xludf.DUMMYFUNCTION("""COMPUTED_VALUE""")," মেহেরপুর""")</f>
        <v> মেহেরপুর"</v>
      </c>
    </row>
    <row r="15">
      <c r="A15" s="24" t="s">
        <v>2708</v>
      </c>
      <c r="B15" s="25">
        <f>IFERROR(__xludf.DUMMYFUNCTION("SPLIT(A15,"","")"),119.0)</f>
        <v>119</v>
      </c>
      <c r="C15" s="25" t="str">
        <f>IFERROR(__xludf.DUMMYFUNCTION("""COMPUTED_VALUE"""),"মোঃ মেহের আলী")</f>
        <v>মোঃ মেহের আলী</v>
      </c>
      <c r="D15" s="25">
        <f>IFERROR(__xludf.DUMMYFUNCTION("""COMPUTED_VALUE"""),5.70156378007E11)</f>
        <v>570156378007</v>
      </c>
      <c r="E15" s="25" t="str">
        <f>IFERROR(__xludf.DUMMYFUNCTION("""COMPUTED_VALUE"""),"মোঃ দবীর উদ্দীন মালিথা")</f>
        <v>মোঃ দবীর উদ্দীন মালিথা</v>
      </c>
      <c r="F15" s="25" t="str">
        <f>IFERROR(__xludf.DUMMYFUNCTION("""COMPUTED_VALUE"""),"মোছাঃ জরিমন্ নেছা")</f>
        <v>মোছাঃ জরিমন্ নেছা</v>
      </c>
      <c r="G15" s="25" t="str">
        <f>IFERROR(__xludf.DUMMYFUNCTION("""COMPUTED_VALUE"""),"০১/০১/১৯৭১")</f>
        <v>০১/০১/১৯৭১</v>
      </c>
      <c r="H15" s="25" t="str">
        <f>IFERROR(__xludf.DUMMYFUNCTION("""COMPUTED_VALUE"""),"কৃষক")</f>
        <v>কৃষক</v>
      </c>
      <c r="I15" s="25" t="str">
        <f>IFERROR(__xludf.DUMMYFUNCTION("""COMPUTED_VALUE"""),"""জালশুকা")</f>
        <v>"জালশুকা</v>
      </c>
      <c r="J15" s="25" t="str">
        <f>IFERROR(__xludf.DUMMYFUNCTION("""COMPUTED_VALUE""")," গাংনী")</f>
        <v> গাংনী</v>
      </c>
      <c r="K15" s="25" t="str">
        <f>IFERROR(__xludf.DUMMYFUNCTION("""COMPUTED_VALUE""")," মেহেরপুর""")</f>
        <v> মেহেরপুর"</v>
      </c>
    </row>
    <row r="16">
      <c r="A16" s="24" t="s">
        <v>2709</v>
      </c>
      <c r="B16" s="25">
        <f>IFERROR(__xludf.DUMMYFUNCTION("SPLIT(A16,"","")"),120.0)</f>
        <v>120</v>
      </c>
      <c r="C16" s="25" t="str">
        <f>IFERROR(__xludf.DUMMYFUNCTION("""COMPUTED_VALUE"""),"মোঃ আঃ ওহাব")</f>
        <v>মোঃ আঃ ওহাব</v>
      </c>
      <c r="D16" s="25">
        <f>IFERROR(__xludf.DUMMYFUNCTION("""COMPUTED_VALUE"""),5.70156378009E11)</f>
        <v>570156378009</v>
      </c>
      <c r="E16" s="25" t="str">
        <f>IFERROR(__xludf.DUMMYFUNCTION("""COMPUTED_VALUE"""),"রহমান মন্ডল")</f>
        <v>রহমান মন্ডল</v>
      </c>
      <c r="F16" s="25" t="str">
        <f>IFERROR(__xludf.DUMMYFUNCTION("""COMPUTED_VALUE"""),"আমেনা খাতুন")</f>
        <v>আমেনা খাতুন</v>
      </c>
      <c r="G16" s="25" t="str">
        <f>IFERROR(__xludf.DUMMYFUNCTION("""COMPUTED_VALUE"""),"২৭/০৪/১৯৫৭")</f>
        <v>২৭/০৪/১৯৫৭</v>
      </c>
      <c r="H16" s="25" t="str">
        <f>IFERROR(__xludf.DUMMYFUNCTION("""COMPUTED_VALUE"""),"কৃষক")</f>
        <v>কৃষক</v>
      </c>
      <c r="I16" s="25" t="str">
        <f>IFERROR(__xludf.DUMMYFUNCTION("""COMPUTED_VALUE"""),"""জালশুকা")</f>
        <v>"জালশুকা</v>
      </c>
      <c r="J16" s="25" t="str">
        <f>IFERROR(__xludf.DUMMYFUNCTION("""COMPUTED_VALUE""")," গাংনী")</f>
        <v> গাংনী</v>
      </c>
      <c r="K16" s="25" t="str">
        <f>IFERROR(__xludf.DUMMYFUNCTION("""COMPUTED_VALUE""")," মেহেরপুর""")</f>
        <v> মেহেরপুর"</v>
      </c>
    </row>
    <row r="17">
      <c r="A17" s="24" t="s">
        <v>2710</v>
      </c>
      <c r="B17" s="25">
        <f>IFERROR(__xludf.DUMMYFUNCTION("SPLIT(A17,"","")"),121.0)</f>
        <v>121</v>
      </c>
      <c r="C17" s="25" t="str">
        <f>IFERROR(__xludf.DUMMYFUNCTION("""COMPUTED_VALUE"""),"মোঃ মঙ্গল মালিথা")</f>
        <v>মোঃ মঙ্গল মালিথা</v>
      </c>
      <c r="D17" s="25">
        <f>IFERROR(__xludf.DUMMYFUNCTION("""COMPUTED_VALUE"""),5.70156378013E11)</f>
        <v>570156378013</v>
      </c>
      <c r="E17" s="25" t="str">
        <f>IFERROR(__xludf.DUMMYFUNCTION("""COMPUTED_VALUE"""),"মোঃ দবীর উদ্দীন মালিথা")</f>
        <v>মোঃ দবীর উদ্দীন মালিথা</v>
      </c>
      <c r="F17" s="25" t="str">
        <f>IFERROR(__xludf.DUMMYFUNCTION("""COMPUTED_VALUE"""),"মোছাঃ জরিমন্ নেছা")</f>
        <v>মোছাঃ জরিমন্ নেছা</v>
      </c>
      <c r="G17" s="25" t="str">
        <f>IFERROR(__xludf.DUMMYFUNCTION("""COMPUTED_VALUE"""),"০১/০১/১৯৯০")</f>
        <v>০১/০১/১৯৯০</v>
      </c>
      <c r="H17" s="25" t="str">
        <f>IFERROR(__xludf.DUMMYFUNCTION("""COMPUTED_VALUE"""),"কৃষক")</f>
        <v>কৃষক</v>
      </c>
      <c r="I17" s="25" t="str">
        <f>IFERROR(__xludf.DUMMYFUNCTION("""COMPUTED_VALUE"""),"""জালশুকা")</f>
        <v>"জালশুকা</v>
      </c>
      <c r="J17" s="25" t="str">
        <f>IFERROR(__xludf.DUMMYFUNCTION("""COMPUTED_VALUE""")," গাংনী")</f>
        <v> গাংনী</v>
      </c>
      <c r="K17" s="25" t="str">
        <f>IFERROR(__xludf.DUMMYFUNCTION("""COMPUTED_VALUE""")," মেহেরপুর""")</f>
        <v> মেহেরপুর"</v>
      </c>
    </row>
    <row r="18">
      <c r="A18" s="24" t="s">
        <v>2711</v>
      </c>
      <c r="B18" s="25">
        <f>IFERROR(__xludf.DUMMYFUNCTION("SPLIT(A18,"","")"),122.0)</f>
        <v>122</v>
      </c>
      <c r="C18" s="25" t="str">
        <f>IFERROR(__xludf.DUMMYFUNCTION("""COMPUTED_VALUE"""),"মোঃ ইউছুফ আলী")</f>
        <v>মোঃ ইউছুফ আলী</v>
      </c>
      <c r="D18" s="25">
        <f>IFERROR(__xludf.DUMMYFUNCTION("""COMPUTED_VALUE"""),5.70156378015E11)</f>
        <v>570156378015</v>
      </c>
      <c r="E18" s="25" t="str">
        <f>IFERROR(__xludf.DUMMYFUNCTION("""COMPUTED_VALUE"""),"রবগুল শেখ")</f>
        <v>রবগুল শেখ</v>
      </c>
      <c r="F18" s="25" t="str">
        <f>IFERROR(__xludf.DUMMYFUNCTION("""COMPUTED_VALUE"""),"খবিরন নেছা")</f>
        <v>খবিরন নেছা</v>
      </c>
      <c r="G18" s="25" t="str">
        <f>IFERROR(__xludf.DUMMYFUNCTION("""COMPUTED_VALUE"""),"০১/০৪/১৯৫৭")</f>
        <v>০১/০৪/১৯৫৭</v>
      </c>
      <c r="H18" s="25" t="str">
        <f>IFERROR(__xludf.DUMMYFUNCTION("""COMPUTED_VALUE"""),"কৃষক")</f>
        <v>কৃষক</v>
      </c>
      <c r="I18" s="25" t="str">
        <f>IFERROR(__xludf.DUMMYFUNCTION("""COMPUTED_VALUE"""),"""জালশুকা")</f>
        <v>"জালশুকা</v>
      </c>
      <c r="J18" s="25" t="str">
        <f>IFERROR(__xludf.DUMMYFUNCTION("""COMPUTED_VALUE""")," গাংনী")</f>
        <v> গাংনী</v>
      </c>
      <c r="K18" s="25" t="str">
        <f>IFERROR(__xludf.DUMMYFUNCTION("""COMPUTED_VALUE""")," মেহেরপুর""")</f>
        <v> মেহেরপুর"</v>
      </c>
    </row>
    <row r="19">
      <c r="A19" s="24" t="s">
        <v>2712</v>
      </c>
      <c r="B19" s="25">
        <f>IFERROR(__xludf.DUMMYFUNCTION("SPLIT(A19,"","")"),123.0)</f>
        <v>123</v>
      </c>
      <c r="C19" s="25" t="str">
        <f>IFERROR(__xludf.DUMMYFUNCTION("""COMPUTED_VALUE"""),"মোঃ জামাল হোসেন")</f>
        <v>মোঃ জামাল হোসেন</v>
      </c>
      <c r="D19" s="25">
        <f>IFERROR(__xludf.DUMMYFUNCTION("""COMPUTED_VALUE"""),5.70156378018E11)</f>
        <v>570156378018</v>
      </c>
      <c r="E19" s="25" t="str">
        <f>IFERROR(__xludf.DUMMYFUNCTION("""COMPUTED_VALUE"""),"রেজাউল")</f>
        <v>রেজাউল</v>
      </c>
      <c r="F19" s="25" t="str">
        <f>IFERROR(__xludf.DUMMYFUNCTION("""COMPUTED_VALUE"""),"আম্বরা খাতুন")</f>
        <v>আম্বরা খাতুন</v>
      </c>
      <c r="G19" s="25" t="str">
        <f>IFERROR(__xludf.DUMMYFUNCTION("""COMPUTED_VALUE"""),"০১/০১/১৯৫৫")</f>
        <v>০১/০১/১৯৫৫</v>
      </c>
      <c r="H19" s="25" t="str">
        <f>IFERROR(__xludf.DUMMYFUNCTION("""COMPUTED_VALUE"""),"কৃষক")</f>
        <v>কৃষক</v>
      </c>
      <c r="I19" s="25" t="str">
        <f>IFERROR(__xludf.DUMMYFUNCTION("""COMPUTED_VALUE"""),"""জালশুকা")</f>
        <v>"জালশুকা</v>
      </c>
      <c r="J19" s="25" t="str">
        <f>IFERROR(__xludf.DUMMYFUNCTION("""COMPUTED_VALUE""")," কসবা")</f>
        <v> কসবা</v>
      </c>
      <c r="K19" s="25" t="str">
        <f>IFERROR(__xludf.DUMMYFUNCTION("""COMPUTED_VALUE""")," গাংনী")</f>
        <v> গাংনী</v>
      </c>
      <c r="L19" s="25" t="str">
        <f>IFERROR(__xludf.DUMMYFUNCTION("""COMPUTED_VALUE""")," মেহেরপুর""")</f>
        <v> মেহেরপুর"</v>
      </c>
    </row>
    <row r="20">
      <c r="A20" s="24" t="s">
        <v>2713</v>
      </c>
      <c r="B20" s="25">
        <f>IFERROR(__xludf.DUMMYFUNCTION("SPLIT(A20,"","")"),124.0)</f>
        <v>124</v>
      </c>
      <c r="C20" s="25" t="str">
        <f>IFERROR(__xludf.DUMMYFUNCTION("""COMPUTED_VALUE"""),"মোঃ চাঁদালী")</f>
        <v>মোঃ চাঁদালী</v>
      </c>
      <c r="D20" s="25">
        <f>IFERROR(__xludf.DUMMYFUNCTION("""COMPUTED_VALUE"""),5.70156378021E11)</f>
        <v>570156378021</v>
      </c>
      <c r="E20" s="25" t="str">
        <f>IFERROR(__xludf.DUMMYFUNCTION("""COMPUTED_VALUE"""),"মোঃ হাশেম আলী")</f>
        <v>মোঃ হাশেম আলী</v>
      </c>
      <c r="F20" s="25" t="str">
        <f>IFERROR(__xludf.DUMMYFUNCTION("""COMPUTED_VALUE"""),"মোছাঃ ছানুয়ারা")</f>
        <v>মোছাঃ ছানুয়ারা</v>
      </c>
      <c r="G20" s="25" t="str">
        <f>IFERROR(__xludf.DUMMYFUNCTION("""COMPUTED_VALUE"""),"০৫/০৭/১৯৭৯")</f>
        <v>০৫/০৭/১৯৭৯</v>
      </c>
      <c r="H20" s="25" t="str">
        <f>IFERROR(__xludf.DUMMYFUNCTION("""COMPUTED_VALUE"""),"কৃষক")</f>
        <v>কৃষক</v>
      </c>
      <c r="I20" s="25" t="str">
        <f>IFERROR(__xludf.DUMMYFUNCTION("""COMPUTED_VALUE"""),"""জালশুকা")</f>
        <v>"জালশুকা</v>
      </c>
      <c r="J20" s="25" t="str">
        <f>IFERROR(__xludf.DUMMYFUNCTION("""COMPUTED_VALUE""")," গাংনী")</f>
        <v> গাংনী</v>
      </c>
      <c r="K20" s="25" t="str">
        <f>IFERROR(__xludf.DUMMYFUNCTION("""COMPUTED_VALUE""")," মেহেরপুর""")</f>
        <v> মেহেরপুর"</v>
      </c>
    </row>
    <row r="21">
      <c r="A21" s="24" t="s">
        <v>2714</v>
      </c>
      <c r="B21" s="25">
        <f>IFERROR(__xludf.DUMMYFUNCTION("SPLIT(A21,"","")"),125.0)</f>
        <v>125</v>
      </c>
      <c r="C21" s="25" t="str">
        <f>IFERROR(__xludf.DUMMYFUNCTION("""COMPUTED_VALUE"""),"মোঃ কামাল উদ্দীন")</f>
        <v>মোঃ কামাল উদ্দীন</v>
      </c>
      <c r="D21" s="25">
        <f>IFERROR(__xludf.DUMMYFUNCTION("""COMPUTED_VALUE"""),5.70156378024E11)</f>
        <v>570156378024</v>
      </c>
      <c r="E21" s="25" t="str">
        <f>IFERROR(__xludf.DUMMYFUNCTION("""COMPUTED_VALUE"""),"মোঃ জামাল হোসেন")</f>
        <v>মোঃ জামাল হোসেন</v>
      </c>
      <c r="F21" s="25" t="str">
        <f>IFERROR(__xludf.DUMMYFUNCTION("""COMPUTED_VALUE"""),"নুরজাহান খাতুন")</f>
        <v>নুরজাহান খাতুন</v>
      </c>
      <c r="G21" s="25" t="str">
        <f>IFERROR(__xludf.DUMMYFUNCTION("""COMPUTED_VALUE"""),"১০/১০/১৯৮১")</f>
        <v>১০/১০/১৯৮১</v>
      </c>
      <c r="H21" s="25" t="str">
        <f>IFERROR(__xludf.DUMMYFUNCTION("""COMPUTED_VALUE"""),"কৃষক")</f>
        <v>কৃষক</v>
      </c>
      <c r="I21" s="25" t="str">
        <f>IFERROR(__xludf.DUMMYFUNCTION("""COMPUTED_VALUE"""),"""জালশুকা")</f>
        <v>"জালশুকা</v>
      </c>
      <c r="J21" s="25" t="str">
        <f>IFERROR(__xludf.DUMMYFUNCTION("""COMPUTED_VALUE""")," গাংনী")</f>
        <v> গাংনী</v>
      </c>
      <c r="K21" s="25" t="str">
        <f>IFERROR(__xludf.DUMMYFUNCTION("""COMPUTED_VALUE""")," মেহেরপুর""")</f>
        <v> মেহেরপুর"</v>
      </c>
    </row>
    <row r="22">
      <c r="A22" s="24" t="s">
        <v>2715</v>
      </c>
      <c r="B22" s="25">
        <f>IFERROR(__xludf.DUMMYFUNCTION("SPLIT(A22,"","")"),126.0)</f>
        <v>126</v>
      </c>
      <c r="C22" s="25" t="str">
        <f>IFERROR(__xludf.DUMMYFUNCTION("""COMPUTED_VALUE"""),"মোঃ লিটন আলী")</f>
        <v>মোঃ লিটন আলী</v>
      </c>
      <c r="D22" s="25">
        <f>IFERROR(__xludf.DUMMYFUNCTION("""COMPUTED_VALUE"""),5.70156378026E11)</f>
        <v>570156378026</v>
      </c>
      <c r="E22" s="25" t="str">
        <f>IFERROR(__xludf.DUMMYFUNCTION("""COMPUTED_VALUE"""),"মোঃ হাশেম আলী")</f>
        <v>মোঃ হাশেম আলী</v>
      </c>
      <c r="F22" s="25" t="str">
        <f>IFERROR(__xludf.DUMMYFUNCTION("""COMPUTED_VALUE"""),"মোছাঃ ছানুয়ারা খাতুন")</f>
        <v>মোছাঃ ছানুয়ারা খাতুন</v>
      </c>
      <c r="G22" s="25" t="str">
        <f>IFERROR(__xludf.DUMMYFUNCTION("""COMPUTED_VALUE"""),"০৭/০৬/১৯৮২")</f>
        <v>০৭/০৬/১৯৮২</v>
      </c>
      <c r="H22" s="25" t="str">
        <f>IFERROR(__xludf.DUMMYFUNCTION("""COMPUTED_VALUE"""),"ব্যবসা")</f>
        <v>ব্যবসা</v>
      </c>
      <c r="I22" s="25" t="str">
        <f>IFERROR(__xludf.DUMMYFUNCTION("""COMPUTED_VALUE"""),"""জালশুকা")</f>
        <v>"জালশুকা</v>
      </c>
      <c r="J22" s="25" t="str">
        <f>IFERROR(__xludf.DUMMYFUNCTION("""COMPUTED_VALUE""")," গাংনী")</f>
        <v> গাংনী</v>
      </c>
      <c r="K22" s="25" t="str">
        <f>IFERROR(__xludf.DUMMYFUNCTION("""COMPUTED_VALUE""")," মেহেরপুর""")</f>
        <v> মেহেরপুর"</v>
      </c>
    </row>
    <row r="23">
      <c r="A23" s="24" t="s">
        <v>2716</v>
      </c>
      <c r="B23" s="25">
        <f>IFERROR(__xludf.DUMMYFUNCTION("SPLIT(A23,"","")"),127.0)</f>
        <v>127</v>
      </c>
      <c r="C23" s="25" t="str">
        <f>IFERROR(__xludf.DUMMYFUNCTION("""COMPUTED_VALUE"""),"মোঃ মজনুর রহমান")</f>
        <v>মোঃ মজনুর রহমান</v>
      </c>
      <c r="D23" s="25">
        <f>IFERROR(__xludf.DUMMYFUNCTION("""COMPUTED_VALUE"""),5.70156378029E11)</f>
        <v>570156378029</v>
      </c>
      <c r="E23" s="25" t="str">
        <f>IFERROR(__xludf.DUMMYFUNCTION("""COMPUTED_VALUE"""),"মাদার শেখ")</f>
        <v>মাদার শেখ</v>
      </c>
      <c r="F23" s="25" t="str">
        <f>IFERROR(__xludf.DUMMYFUNCTION("""COMPUTED_VALUE"""),"কমভানু")</f>
        <v>কমভানু</v>
      </c>
      <c r="G23" s="25" t="str">
        <f>IFERROR(__xludf.DUMMYFUNCTION("""COMPUTED_VALUE"""),"১২/১১/১৯৬২")</f>
        <v>১২/১১/১৯৬২</v>
      </c>
      <c r="H23" s="25" t="str">
        <f>IFERROR(__xludf.DUMMYFUNCTION("""COMPUTED_VALUE"""),"ব্যবসা")</f>
        <v>ব্যবসা</v>
      </c>
      <c r="I23" s="25" t="str">
        <f>IFERROR(__xludf.DUMMYFUNCTION("""COMPUTED_VALUE"""),"""জালশুকা")</f>
        <v>"জালশুকা</v>
      </c>
      <c r="J23" s="25" t="str">
        <f>IFERROR(__xludf.DUMMYFUNCTION("""COMPUTED_VALUE""")," গাংনী")</f>
        <v> গাংনী</v>
      </c>
      <c r="K23" s="25" t="str">
        <f>IFERROR(__xludf.DUMMYFUNCTION("""COMPUTED_VALUE""")," মেহেরপুর""")</f>
        <v> মেহেরপুর"</v>
      </c>
    </row>
    <row r="24">
      <c r="A24" s="24" t="s">
        <v>2717</v>
      </c>
      <c r="B24" s="25">
        <f>IFERROR(__xludf.DUMMYFUNCTION("SPLIT(A24,"","")"),129.0)</f>
        <v>129</v>
      </c>
      <c r="C24" s="25" t="str">
        <f>IFERROR(__xludf.DUMMYFUNCTION("""COMPUTED_VALUE"""),"মোঃ শফিকুল ইসলাম")</f>
        <v>মোঃ শফিকুল ইসলাম</v>
      </c>
      <c r="D24" s="25">
        <f>IFERROR(__xludf.DUMMYFUNCTION("""COMPUTED_VALUE"""),5.70156378031E11)</f>
        <v>570156378031</v>
      </c>
      <c r="E24" s="25" t="str">
        <f>IFERROR(__xludf.DUMMYFUNCTION("""COMPUTED_VALUE"""),"মোঃ হারুন মন্ডল")</f>
        <v>মোঃ হারুন মন্ডল</v>
      </c>
      <c r="F24" s="25" t="str">
        <f>IFERROR(__xludf.DUMMYFUNCTION("""COMPUTED_VALUE"""),"মোছাঃ সরবজান")</f>
        <v>মোছাঃ সরবজান</v>
      </c>
      <c r="G24" s="25" t="str">
        <f>IFERROR(__xludf.DUMMYFUNCTION("""COMPUTED_VALUE"""),"২০/০৯/১৯৬৯")</f>
        <v>২০/০৯/১৯৬৯</v>
      </c>
      <c r="H24" s="25" t="str">
        <f>IFERROR(__xludf.DUMMYFUNCTION("""COMPUTED_VALUE"""),"কৃষক")</f>
        <v>কৃষক</v>
      </c>
      <c r="I24" s="25" t="str">
        <f>IFERROR(__xludf.DUMMYFUNCTION("""COMPUTED_VALUE"""),"""জালশুকা")</f>
        <v>"জালশুকা</v>
      </c>
      <c r="J24" s="25" t="str">
        <f>IFERROR(__xludf.DUMMYFUNCTION("""COMPUTED_VALUE""")," গাংনী")</f>
        <v> গাংনী</v>
      </c>
      <c r="K24" s="25" t="str">
        <f>IFERROR(__xludf.DUMMYFUNCTION("""COMPUTED_VALUE""")," মেহেরপুর""")</f>
        <v> মেহেরপুর"</v>
      </c>
    </row>
    <row r="25">
      <c r="A25" s="24" t="s">
        <v>2718</v>
      </c>
      <c r="B25" s="25">
        <f>IFERROR(__xludf.DUMMYFUNCTION("SPLIT(A25,"","")"),130.0)</f>
        <v>130</v>
      </c>
      <c r="C25" s="25" t="str">
        <f>IFERROR(__xludf.DUMMYFUNCTION("""COMPUTED_VALUE"""),"মোঃ মমিন")</f>
        <v>মোঃ মমিন</v>
      </c>
      <c r="D25" s="25">
        <f>IFERROR(__xludf.DUMMYFUNCTION("""COMPUTED_VALUE"""),5.70156378034E11)</f>
        <v>570156378034</v>
      </c>
      <c r="E25" s="25" t="str">
        <f>IFERROR(__xludf.DUMMYFUNCTION("""COMPUTED_VALUE"""),"জাদু আলী")</f>
        <v>জাদু আলী</v>
      </c>
      <c r="F25" s="25" t="str">
        <f>IFERROR(__xludf.DUMMYFUNCTION("""COMPUTED_VALUE"""),"জেলেপন খাতুন")</f>
        <v>জেলেপন খাতুন</v>
      </c>
      <c r="G25" s="25" t="str">
        <f>IFERROR(__xludf.DUMMYFUNCTION("""COMPUTED_VALUE"""),"০৯/০৯/১৯৭২")</f>
        <v>০৯/০৯/১৯৭২</v>
      </c>
      <c r="H25" s="25" t="str">
        <f>IFERROR(__xludf.DUMMYFUNCTION("""COMPUTED_VALUE"""),"কৃষক")</f>
        <v>কৃষক</v>
      </c>
      <c r="I25" s="25" t="str">
        <f>IFERROR(__xludf.DUMMYFUNCTION("""COMPUTED_VALUE"""),"""জালশুকা")</f>
        <v>"জালশুকা</v>
      </c>
      <c r="J25" s="25" t="str">
        <f>IFERROR(__xludf.DUMMYFUNCTION("""COMPUTED_VALUE""")," গাংনী")</f>
        <v> গাংনী</v>
      </c>
      <c r="K25" s="25" t="str">
        <f>IFERROR(__xludf.DUMMYFUNCTION("""COMPUTED_VALUE""")," মেহেরপুর""")</f>
        <v> মেহেরপুর"</v>
      </c>
    </row>
    <row r="26">
      <c r="A26" s="24" t="s">
        <v>2719</v>
      </c>
      <c r="B26" s="25">
        <f>IFERROR(__xludf.DUMMYFUNCTION("SPLIT(A26,"","")"),132.0)</f>
        <v>132</v>
      </c>
      <c r="C26" s="25" t="str">
        <f>IFERROR(__xludf.DUMMYFUNCTION("""COMPUTED_VALUE"""),"মোঃ আব্দুল")</f>
        <v>মোঃ আব্দুল</v>
      </c>
      <c r="D26" s="25">
        <f>IFERROR(__xludf.DUMMYFUNCTION("""COMPUTED_VALUE"""),5.70156378036E11)</f>
        <v>570156378036</v>
      </c>
      <c r="E26" s="25" t="str">
        <f>IFERROR(__xludf.DUMMYFUNCTION("""COMPUTED_VALUE"""),"মোঃ মমিন")</f>
        <v>মোঃ মমিন</v>
      </c>
      <c r="F26" s="25" t="str">
        <f>IFERROR(__xludf.DUMMYFUNCTION("""COMPUTED_VALUE"""),"মোছাঃ মজিরন")</f>
        <v>মোছাঃ মজিরন</v>
      </c>
      <c r="G26" s="25" t="str">
        <f>IFERROR(__xludf.DUMMYFUNCTION("""COMPUTED_VALUE"""),"০৭/০৬/১৯৮২")</f>
        <v>০৭/০৬/১৯৮২</v>
      </c>
      <c r="H26" s="25" t="str">
        <f>IFERROR(__xludf.DUMMYFUNCTION("""COMPUTED_VALUE"""),"কৃষক")</f>
        <v>কৃষক</v>
      </c>
      <c r="I26" s="25" t="str">
        <f>IFERROR(__xludf.DUMMYFUNCTION("""COMPUTED_VALUE"""),"""জালশুকা")</f>
        <v>"জালশুকা</v>
      </c>
      <c r="J26" s="25" t="str">
        <f>IFERROR(__xludf.DUMMYFUNCTION("""COMPUTED_VALUE""")," গাংনী")</f>
        <v> গাংনী</v>
      </c>
      <c r="K26" s="25" t="str">
        <f>IFERROR(__xludf.DUMMYFUNCTION("""COMPUTED_VALUE""")," মেহেরপুর""")</f>
        <v> মেহেরপুর"</v>
      </c>
    </row>
    <row r="27">
      <c r="A27" s="24" t="s">
        <v>2720</v>
      </c>
      <c r="B27" s="25">
        <f>IFERROR(__xludf.DUMMYFUNCTION("SPLIT(A27,"","")"),133.0)</f>
        <v>133</v>
      </c>
      <c r="C27" s="25" t="str">
        <f>IFERROR(__xludf.DUMMYFUNCTION("""COMPUTED_VALUE"""),"মোঃ রহিদুল ইসলাম")</f>
        <v>মোঃ রহিদুল ইসলাম</v>
      </c>
      <c r="D27" s="25">
        <f>IFERROR(__xludf.DUMMYFUNCTION("""COMPUTED_VALUE"""),5.70156378042E11)</f>
        <v>570156378042</v>
      </c>
      <c r="E27" s="25" t="str">
        <f>IFERROR(__xludf.DUMMYFUNCTION("""COMPUTED_VALUE"""),"মোঃ ছলেমান মন্ডল")</f>
        <v>মোঃ ছলেমান মন্ডল</v>
      </c>
      <c r="F27" s="25" t="str">
        <f>IFERROR(__xludf.DUMMYFUNCTION("""COMPUTED_VALUE"""),"মোছাঃ রাহিমা খাতুন")</f>
        <v>মোছাঃ রাহিমা খাতুন</v>
      </c>
      <c r="G27" s="25" t="str">
        <f>IFERROR(__xludf.DUMMYFUNCTION("""COMPUTED_VALUE"""),"৩০/০৯/১৯৮০")</f>
        <v>৩০/০৯/১৯৮০</v>
      </c>
      <c r="H27" s="25" t="str">
        <f>IFERROR(__xludf.DUMMYFUNCTION("""COMPUTED_VALUE"""),"ব্যবসা")</f>
        <v>ব্যবসা</v>
      </c>
      <c r="I27" s="25" t="str">
        <f>IFERROR(__xludf.DUMMYFUNCTION("""COMPUTED_VALUE"""),"""জালশুকা")</f>
        <v>"জালশুকা</v>
      </c>
      <c r="J27" s="25" t="str">
        <f>IFERROR(__xludf.DUMMYFUNCTION("""COMPUTED_VALUE""")," গাংনী")</f>
        <v> গাংনী</v>
      </c>
      <c r="K27" s="25" t="str">
        <f>IFERROR(__xludf.DUMMYFUNCTION("""COMPUTED_VALUE""")," মেহেরপুর""")</f>
        <v> মেহেরপুর"</v>
      </c>
    </row>
    <row r="28">
      <c r="A28" s="24" t="s">
        <v>2721</v>
      </c>
      <c r="B28" s="25">
        <f>IFERROR(__xludf.DUMMYFUNCTION("SPLIT(A28,"","")"),134.0)</f>
        <v>134</v>
      </c>
      <c r="C28" s="25" t="str">
        <f>IFERROR(__xludf.DUMMYFUNCTION("""COMPUTED_VALUE"""),"মোঃ মতিয়ার রহমান")</f>
        <v>মোঃ মতিয়ার রহমান</v>
      </c>
      <c r="D28" s="25">
        <f>IFERROR(__xludf.DUMMYFUNCTION("""COMPUTED_VALUE"""),5.70156378043E11)</f>
        <v>570156378043</v>
      </c>
      <c r="E28" s="25" t="str">
        <f>IFERROR(__xludf.DUMMYFUNCTION("""COMPUTED_VALUE"""),"মোঃ ফজল উদ্দীন")</f>
        <v>মোঃ ফজল উদ্দীন</v>
      </c>
      <c r="F28" s="25" t="str">
        <f>IFERROR(__xludf.DUMMYFUNCTION("""COMPUTED_VALUE"""),"আনুয়ারা খাতুন")</f>
        <v>আনুয়ারা খাতুন</v>
      </c>
      <c r="G28" s="25" t="str">
        <f>IFERROR(__xludf.DUMMYFUNCTION("""COMPUTED_VALUE"""),"০৮/০৯/১৯৭৯")</f>
        <v>০৮/০৯/১৯৭৯</v>
      </c>
      <c r="H28" s="25" t="str">
        <f>IFERROR(__xludf.DUMMYFUNCTION("""COMPUTED_VALUE"""),"কৃষক")</f>
        <v>কৃষক</v>
      </c>
      <c r="I28" s="25" t="str">
        <f>IFERROR(__xludf.DUMMYFUNCTION("""COMPUTED_VALUE"""),"""জালশুকা")</f>
        <v>"জালশুকা</v>
      </c>
      <c r="J28" s="25" t="str">
        <f>IFERROR(__xludf.DUMMYFUNCTION("""COMPUTED_VALUE""")," গাংনী")</f>
        <v> গাংনী</v>
      </c>
      <c r="K28" s="25" t="str">
        <f>IFERROR(__xludf.DUMMYFUNCTION("""COMPUTED_VALUE""")," মেহেরপুর""")</f>
        <v> মেহেরপুর"</v>
      </c>
    </row>
    <row r="29">
      <c r="A29" s="24" t="s">
        <v>2722</v>
      </c>
      <c r="B29" s="25">
        <f>IFERROR(__xludf.DUMMYFUNCTION("SPLIT(A29,"","")"),135.0)</f>
        <v>135</v>
      </c>
      <c r="C29" s="25" t="str">
        <f>IFERROR(__xludf.DUMMYFUNCTION("""COMPUTED_VALUE"""),"মোঃ মজিদ")</f>
        <v>মোঃ মজিদ</v>
      </c>
      <c r="D29" s="25">
        <f>IFERROR(__xludf.DUMMYFUNCTION("""COMPUTED_VALUE"""),5.70156378044E11)</f>
        <v>570156378044</v>
      </c>
      <c r="E29" s="25" t="str">
        <f>IFERROR(__xludf.DUMMYFUNCTION("""COMPUTED_VALUE"""),"মোঃ আঃ আজিজ")</f>
        <v>মোঃ আঃ আজিজ</v>
      </c>
      <c r="F29" s="25" t="str">
        <f>IFERROR(__xludf.DUMMYFUNCTION("""COMPUTED_VALUE"""),"মোছাঃ সাহার বানু")</f>
        <v>মোছাঃ সাহার বানু</v>
      </c>
      <c r="G29" s="25" t="str">
        <f>IFERROR(__xludf.DUMMYFUNCTION("""COMPUTED_VALUE"""),"০৫/০২/১৯৮০")</f>
        <v>০৫/০২/১৯৮০</v>
      </c>
      <c r="H29" s="25" t="str">
        <f>IFERROR(__xludf.DUMMYFUNCTION("""COMPUTED_VALUE"""),"কৃষক")</f>
        <v>কৃষক</v>
      </c>
      <c r="I29" s="25" t="str">
        <f>IFERROR(__xludf.DUMMYFUNCTION("""COMPUTED_VALUE"""),"""জালশুকা")</f>
        <v>"জালশুকা</v>
      </c>
      <c r="J29" s="25" t="str">
        <f>IFERROR(__xludf.DUMMYFUNCTION("""COMPUTED_VALUE""")," গাংনী")</f>
        <v> গাংনী</v>
      </c>
      <c r="K29" s="25" t="str">
        <f>IFERROR(__xludf.DUMMYFUNCTION("""COMPUTED_VALUE""")," মেহেরপুর""")</f>
        <v> মেহেরপুর"</v>
      </c>
    </row>
    <row r="30">
      <c r="A30" s="24" t="s">
        <v>2723</v>
      </c>
      <c r="B30" s="25">
        <f>IFERROR(__xludf.DUMMYFUNCTION("SPLIT(A30,"","")"),136.0)</f>
        <v>136</v>
      </c>
      <c r="C30" s="25" t="str">
        <f>IFERROR(__xludf.DUMMYFUNCTION("""COMPUTED_VALUE"""),"মোঃ আবুহুদ্দীন মন্ডল")</f>
        <v>মোঃ আবুহুদ্দীন মন্ডল</v>
      </c>
      <c r="D30" s="25">
        <f>IFERROR(__xludf.DUMMYFUNCTION("""COMPUTED_VALUE"""),5.70156378048E11)</f>
        <v>570156378048</v>
      </c>
      <c r="E30" s="25" t="str">
        <f>IFERROR(__xludf.DUMMYFUNCTION("""COMPUTED_VALUE"""),"নবিছুদ্দীন মন্ডল")</f>
        <v>নবিছুদ্দীন মন্ডল</v>
      </c>
      <c r="F30" s="25" t="str">
        <f>IFERROR(__xludf.DUMMYFUNCTION("""COMPUTED_VALUE"""),"মোছাঃ সাহার বানু")</f>
        <v>মোছাঃ সাহার বানু</v>
      </c>
      <c r="G30" s="25" t="str">
        <f>IFERROR(__xludf.DUMMYFUNCTION("""COMPUTED_VALUE"""),"৩০/০৭/১৯৫২")</f>
        <v>৩০/০৭/১৯৫২</v>
      </c>
      <c r="H30" s="25" t="str">
        <f>IFERROR(__xludf.DUMMYFUNCTION("""COMPUTED_VALUE"""),"কৃষক")</f>
        <v>কৃষক</v>
      </c>
      <c r="I30" s="25" t="str">
        <f>IFERROR(__xludf.DUMMYFUNCTION("""COMPUTED_VALUE"""),"""জালশুকা")</f>
        <v>"জালশুকা</v>
      </c>
      <c r="J30" s="25" t="str">
        <f>IFERROR(__xludf.DUMMYFUNCTION("""COMPUTED_VALUE""")," গাংনী")</f>
        <v> গাংনী</v>
      </c>
      <c r="K30" s="25" t="str">
        <f>IFERROR(__xludf.DUMMYFUNCTION("""COMPUTED_VALUE""")," মেহেরপুর""")</f>
        <v> মেহেরপুর"</v>
      </c>
    </row>
    <row r="31">
      <c r="A31" s="24" t="s">
        <v>2724</v>
      </c>
      <c r="B31" s="25">
        <f>IFERROR(__xludf.DUMMYFUNCTION("SPLIT(A31,"","")"),137.0)</f>
        <v>137</v>
      </c>
      <c r="C31" s="25" t="str">
        <f>IFERROR(__xludf.DUMMYFUNCTION("""COMPUTED_VALUE"""),"মোঃ আলম")</f>
        <v>মোঃ আলম</v>
      </c>
      <c r="D31" s="25">
        <f>IFERROR(__xludf.DUMMYFUNCTION("""COMPUTED_VALUE"""),5.70156378049E11)</f>
        <v>570156378049</v>
      </c>
      <c r="E31" s="25" t="str">
        <f>IFERROR(__xludf.DUMMYFUNCTION("""COMPUTED_VALUE"""),"মোঃ আবুহুদ্দীন মন্ডল")</f>
        <v>মোঃ আবুহুদ্দীন মন্ডল</v>
      </c>
      <c r="F31" s="25" t="str">
        <f>IFERROR(__xludf.DUMMYFUNCTION("""COMPUTED_VALUE"""),"মোছাঃ কুলছন নেছা")</f>
        <v>মোছাঃ কুলছন নেছা</v>
      </c>
      <c r="G31" s="25" t="str">
        <f>IFERROR(__xludf.DUMMYFUNCTION("""COMPUTED_VALUE"""),"০৩/০৫/১৯৭৮")</f>
        <v>০৩/০৫/১৯৭৮</v>
      </c>
      <c r="H31" s="25" t="str">
        <f>IFERROR(__xludf.DUMMYFUNCTION("""COMPUTED_VALUE"""),"কৃষক")</f>
        <v>কৃষক</v>
      </c>
      <c r="I31" s="25" t="str">
        <f>IFERROR(__xludf.DUMMYFUNCTION("""COMPUTED_VALUE"""),"""জালশুকা")</f>
        <v>"জালশুকা</v>
      </c>
      <c r="J31" s="25" t="str">
        <f>IFERROR(__xludf.DUMMYFUNCTION("""COMPUTED_VALUE""")," গাংনী")</f>
        <v> গাংনী</v>
      </c>
      <c r="K31" s="25" t="str">
        <f>IFERROR(__xludf.DUMMYFUNCTION("""COMPUTED_VALUE""")," মেহেরপুর""")</f>
        <v> মেহেরপুর"</v>
      </c>
    </row>
    <row r="32">
      <c r="A32" s="24" t="s">
        <v>2725</v>
      </c>
      <c r="B32" s="25">
        <f>IFERROR(__xludf.DUMMYFUNCTION("SPLIT(A32,"","")"),138.0)</f>
        <v>138</v>
      </c>
      <c r="C32" s="25" t="str">
        <f>IFERROR(__xludf.DUMMYFUNCTION("""COMPUTED_VALUE"""),"মোঃ আলমাছ")</f>
        <v>মোঃ আলমাছ</v>
      </c>
      <c r="D32" s="25">
        <f>IFERROR(__xludf.DUMMYFUNCTION("""COMPUTED_VALUE"""),5.70156378056E11)</f>
        <v>570156378056</v>
      </c>
      <c r="E32" s="25" t="str">
        <f>IFERROR(__xludf.DUMMYFUNCTION("""COMPUTED_VALUE"""),"মোঃ আবুল হোসেন")</f>
        <v>মোঃ আবুল হোসেন</v>
      </c>
      <c r="F32" s="25" t="str">
        <f>IFERROR(__xludf.DUMMYFUNCTION("""COMPUTED_VALUE"""),"মোছাঃ জামেনা খাতুন")</f>
        <v>মোছাঃ জামেনা খাতুন</v>
      </c>
      <c r="G32" s="25" t="str">
        <f>IFERROR(__xludf.DUMMYFUNCTION("""COMPUTED_VALUE"""),"১০/১০/১৯৬৭")</f>
        <v>১০/১০/১৯৬৭</v>
      </c>
      <c r="H32" s="25" t="str">
        <f>IFERROR(__xludf.DUMMYFUNCTION("""COMPUTED_VALUE"""),"কৃষক")</f>
        <v>কৃষক</v>
      </c>
      <c r="I32" s="25" t="str">
        <f>IFERROR(__xludf.DUMMYFUNCTION("""COMPUTED_VALUE"""),"""জালশুকা")</f>
        <v>"জালশুকা</v>
      </c>
      <c r="J32" s="25" t="str">
        <f>IFERROR(__xludf.DUMMYFUNCTION("""COMPUTED_VALUE""")," গাংনী")</f>
        <v> গাংনী</v>
      </c>
      <c r="K32" s="25" t="str">
        <f>IFERROR(__xludf.DUMMYFUNCTION("""COMPUTED_VALUE""")," মেহেরপুর""")</f>
        <v> মেহেরপুর"</v>
      </c>
    </row>
    <row r="33">
      <c r="A33" s="24" t="s">
        <v>2726</v>
      </c>
      <c r="B33" s="25">
        <f>IFERROR(__xludf.DUMMYFUNCTION("SPLIT(A33,"","")"),139.0)</f>
        <v>139</v>
      </c>
      <c r="C33" s="25" t="str">
        <f>IFERROR(__xludf.DUMMYFUNCTION("""COMPUTED_VALUE"""),"মোঃ শামসুল হক")</f>
        <v>মোঃ শামসুল হক</v>
      </c>
      <c r="D33" s="25">
        <f>IFERROR(__xludf.DUMMYFUNCTION("""COMPUTED_VALUE"""),5.70156378058E11)</f>
        <v>570156378058</v>
      </c>
      <c r="E33" s="25" t="str">
        <f>IFERROR(__xludf.DUMMYFUNCTION("""COMPUTED_VALUE"""),"মোঃ আমীর মন্ডল")</f>
        <v>মোঃ আমীর মন্ডল</v>
      </c>
      <c r="F33" s="25" t="str">
        <f>IFERROR(__xludf.DUMMYFUNCTION("""COMPUTED_VALUE"""),"মোছাঃ জামিরন খাতুন")</f>
        <v>মোছাঃ জামিরন খাতুন</v>
      </c>
      <c r="G33" s="25" t="str">
        <f>IFERROR(__xludf.DUMMYFUNCTION("""COMPUTED_VALUE"""),"২০/০৫/১৯৫২")</f>
        <v>২০/০৫/১৯৫২</v>
      </c>
      <c r="H33" s="25" t="str">
        <f>IFERROR(__xludf.DUMMYFUNCTION("""COMPUTED_VALUE"""),"কৃষক")</f>
        <v>কৃষক</v>
      </c>
      <c r="I33" s="25" t="str">
        <f>IFERROR(__xludf.DUMMYFUNCTION("""COMPUTED_VALUE"""),"""জালশুকা")</f>
        <v>"জালশুকা</v>
      </c>
      <c r="J33" s="25" t="str">
        <f>IFERROR(__xludf.DUMMYFUNCTION("""COMPUTED_VALUE""")," গাংনী")</f>
        <v> গাংনী</v>
      </c>
      <c r="K33" s="25" t="str">
        <f>IFERROR(__xludf.DUMMYFUNCTION("""COMPUTED_VALUE""")," মেহেরপুর""")</f>
        <v> মেহেরপুর"</v>
      </c>
    </row>
    <row r="34">
      <c r="A34" s="24" t="s">
        <v>2727</v>
      </c>
      <c r="B34" s="25">
        <f>IFERROR(__xludf.DUMMYFUNCTION("SPLIT(A34,"","")"),140.0)</f>
        <v>140</v>
      </c>
      <c r="C34" s="25" t="str">
        <f>IFERROR(__xludf.DUMMYFUNCTION("""COMPUTED_VALUE"""),"মোঃ মন্টু আলী")</f>
        <v>মোঃ মন্টু আলী</v>
      </c>
      <c r="D34" s="25">
        <f>IFERROR(__xludf.DUMMYFUNCTION("""COMPUTED_VALUE"""),5.70156378061E11)</f>
        <v>570156378061</v>
      </c>
      <c r="E34" s="25" t="str">
        <f>IFERROR(__xludf.DUMMYFUNCTION("""COMPUTED_VALUE"""),"আঃ আজিজ")</f>
        <v>আঃ আজিজ</v>
      </c>
      <c r="F34" s="25" t="str">
        <f>IFERROR(__xludf.DUMMYFUNCTION("""COMPUTED_VALUE"""),"মাহিরন নেছা")</f>
        <v>মাহিরন নেছা</v>
      </c>
      <c r="G34" s="25" t="str">
        <f>IFERROR(__xludf.DUMMYFUNCTION("""COMPUTED_VALUE"""),"০১/০১/১৯৬৪")</f>
        <v>০১/০১/১৯৬৪</v>
      </c>
      <c r="H34" s="25" t="str">
        <f>IFERROR(__xludf.DUMMYFUNCTION("""COMPUTED_VALUE"""),"কৃষক")</f>
        <v>কৃষক</v>
      </c>
      <c r="I34" s="25" t="str">
        <f>IFERROR(__xludf.DUMMYFUNCTION("""COMPUTED_VALUE"""),"""জালশুকা")</f>
        <v>"জালশুকা</v>
      </c>
      <c r="J34" s="25" t="str">
        <f>IFERROR(__xludf.DUMMYFUNCTION("""COMPUTED_VALUE""")," কসবা")</f>
        <v> কসবা</v>
      </c>
      <c r="K34" s="25" t="str">
        <f>IFERROR(__xludf.DUMMYFUNCTION("""COMPUTED_VALUE""")," গাংনী")</f>
        <v> গাংনী</v>
      </c>
      <c r="L34" s="25" t="str">
        <f>IFERROR(__xludf.DUMMYFUNCTION("""COMPUTED_VALUE""")," মেহেরপুর""")</f>
        <v> মেহেরপুর"</v>
      </c>
    </row>
    <row r="35">
      <c r="A35" s="24" t="s">
        <v>2728</v>
      </c>
      <c r="B35" s="25">
        <f>IFERROR(__xludf.DUMMYFUNCTION("SPLIT(A35,"","")"),141.0)</f>
        <v>141</v>
      </c>
      <c r="C35" s="25" t="str">
        <f>IFERROR(__xludf.DUMMYFUNCTION("""COMPUTED_VALUE"""),"মোঃ খোকন")</f>
        <v>মোঃ খোকন</v>
      </c>
      <c r="D35" s="25">
        <f>IFERROR(__xludf.DUMMYFUNCTION("""COMPUTED_VALUE"""),5.70156378062E11)</f>
        <v>570156378062</v>
      </c>
      <c r="E35" s="25" t="str">
        <f>IFERROR(__xludf.DUMMYFUNCTION("""COMPUTED_VALUE"""),"মোঃ আসান আলী")</f>
        <v>মোঃ আসান আলী</v>
      </c>
      <c r="F35" s="25" t="str">
        <f>IFERROR(__xludf.DUMMYFUNCTION("""COMPUTED_VALUE"""),"মোছাঃ মর্জিনা খাতুন")</f>
        <v>মোছাঃ মর্জিনা খাতুন</v>
      </c>
      <c r="G35" s="25" t="str">
        <f>IFERROR(__xludf.DUMMYFUNCTION("""COMPUTED_VALUE"""),"০৭/০৬/১৯৮৩")</f>
        <v>০৭/০৬/১৯৮৩</v>
      </c>
      <c r="H35" s="25" t="str">
        <f>IFERROR(__xludf.DUMMYFUNCTION("""COMPUTED_VALUE"""),"কৃষক")</f>
        <v>কৃষক</v>
      </c>
      <c r="I35" s="25" t="str">
        <f>IFERROR(__xludf.DUMMYFUNCTION("""COMPUTED_VALUE"""),"""জালশুকা")</f>
        <v>"জালশুকা</v>
      </c>
      <c r="J35" s="25" t="str">
        <f>IFERROR(__xludf.DUMMYFUNCTION("""COMPUTED_VALUE""")," গাংনী")</f>
        <v> গাংনী</v>
      </c>
      <c r="K35" s="25" t="str">
        <f>IFERROR(__xludf.DUMMYFUNCTION("""COMPUTED_VALUE""")," মেহেরপুর""")</f>
        <v> মেহেরপুর"</v>
      </c>
    </row>
    <row r="36">
      <c r="A36" s="24" t="s">
        <v>2729</v>
      </c>
      <c r="B36" s="25">
        <f>IFERROR(__xludf.DUMMYFUNCTION("SPLIT(A36,"","")"),142.0)</f>
        <v>142</v>
      </c>
      <c r="C36" s="25" t="str">
        <f>IFERROR(__xludf.DUMMYFUNCTION("""COMPUTED_VALUE"""),"মোঃ সোনাহার")</f>
        <v>মোঃ সোনাহার</v>
      </c>
      <c r="D36" s="25">
        <f>IFERROR(__xludf.DUMMYFUNCTION("""COMPUTED_VALUE"""),5.70156378064E11)</f>
        <v>570156378064</v>
      </c>
      <c r="E36" s="25" t="str">
        <f>IFERROR(__xludf.DUMMYFUNCTION("""COMPUTED_VALUE"""),"মোঃ শুকুর আলী")</f>
        <v>মোঃ শুকুর আলী</v>
      </c>
      <c r="F36" s="25" t="str">
        <f>IFERROR(__xludf.DUMMYFUNCTION("""COMPUTED_VALUE"""),"মোছাঃ হালিমা খাতুন")</f>
        <v>মোছাঃ হালিমা খাতুন</v>
      </c>
      <c r="G36" s="25" t="str">
        <f>IFERROR(__xludf.DUMMYFUNCTION("""COMPUTED_VALUE"""),"০৯/০৯/১৯৭২")</f>
        <v>০৯/০৯/১৯৭২</v>
      </c>
      <c r="H36" s="25" t="str">
        <f>IFERROR(__xludf.DUMMYFUNCTION("""COMPUTED_VALUE"""),"ব্যবসা")</f>
        <v>ব্যবসা</v>
      </c>
      <c r="I36" s="25" t="str">
        <f>IFERROR(__xludf.DUMMYFUNCTION("""COMPUTED_VALUE"""),"""জালশুকা")</f>
        <v>"জালশুকা</v>
      </c>
      <c r="J36" s="25" t="str">
        <f>IFERROR(__xludf.DUMMYFUNCTION("""COMPUTED_VALUE""")," গাংনী")</f>
        <v> গাংনী</v>
      </c>
      <c r="K36" s="25" t="str">
        <f>IFERROR(__xludf.DUMMYFUNCTION("""COMPUTED_VALUE""")," মেহেরপুর""")</f>
        <v> মেহেরপুর"</v>
      </c>
    </row>
    <row r="37">
      <c r="A37" s="24" t="s">
        <v>2730</v>
      </c>
      <c r="B37" s="25">
        <f>IFERROR(__xludf.DUMMYFUNCTION("SPLIT(A37,"","")"),143.0)</f>
        <v>143</v>
      </c>
      <c r="C37" s="25" t="str">
        <f>IFERROR(__xludf.DUMMYFUNCTION("""COMPUTED_VALUE"""),"মোঃ আমিরুল ইসলাম")</f>
        <v>মোঃ আমিরুল ইসলাম</v>
      </c>
      <c r="D37" s="25">
        <f>IFERROR(__xludf.DUMMYFUNCTION("""COMPUTED_VALUE"""),5.70156378065E11)</f>
        <v>570156378065</v>
      </c>
      <c r="E37" s="25" t="str">
        <f>IFERROR(__xludf.DUMMYFUNCTION("""COMPUTED_VALUE"""),"ইসমাইল হোসেন")</f>
        <v>ইসমাইল হোসেন</v>
      </c>
      <c r="F37" s="25" t="str">
        <f>IFERROR(__xludf.DUMMYFUNCTION("""COMPUTED_VALUE"""),"মোছাঃ ফুলজান খাতুন")</f>
        <v>মোছাঃ ফুলজান খাতুন</v>
      </c>
      <c r="G37" s="25" t="str">
        <f>IFERROR(__xludf.DUMMYFUNCTION("""COMPUTED_VALUE"""),"০১/০১/১৯৭৭")</f>
        <v>০১/০১/১৯৭৭</v>
      </c>
      <c r="H37" s="25" t="str">
        <f>IFERROR(__xludf.DUMMYFUNCTION("""COMPUTED_VALUE"""),"কৃষক")</f>
        <v>কৃষক</v>
      </c>
      <c r="I37" s="25" t="str">
        <f>IFERROR(__xludf.DUMMYFUNCTION("""COMPUTED_VALUE"""),"""জালশুকা")</f>
        <v>"জালশুকা</v>
      </c>
      <c r="J37" s="25" t="str">
        <f>IFERROR(__xludf.DUMMYFUNCTION("""COMPUTED_VALUE""")," গাংনী")</f>
        <v> গাংনী</v>
      </c>
      <c r="K37" s="25" t="str">
        <f>IFERROR(__xludf.DUMMYFUNCTION("""COMPUTED_VALUE""")," মেহেরপুর""")</f>
        <v> মেহেরপুর"</v>
      </c>
    </row>
    <row r="38">
      <c r="A38" s="24" t="s">
        <v>2731</v>
      </c>
      <c r="B38" s="25">
        <f>IFERROR(__xludf.DUMMYFUNCTION("SPLIT(A38,"","")"),144.0)</f>
        <v>144</v>
      </c>
      <c r="C38" s="25" t="str">
        <f>IFERROR(__xludf.DUMMYFUNCTION("""COMPUTED_VALUE"""),"মোঃ মহিবুল")</f>
        <v>মোঃ মহিবুল</v>
      </c>
      <c r="D38" s="25">
        <f>IFERROR(__xludf.DUMMYFUNCTION("""COMPUTED_VALUE"""),5.70156378066E11)</f>
        <v>570156378066</v>
      </c>
      <c r="E38" s="25" t="str">
        <f>IFERROR(__xludf.DUMMYFUNCTION("""COMPUTED_VALUE"""),"নবিছুদ্দীন")</f>
        <v>নবিছুদ্দীন</v>
      </c>
      <c r="F38" s="25" t="str">
        <f>IFERROR(__xludf.DUMMYFUNCTION("""COMPUTED_VALUE"""),"মোছাঃ সাহার বানু")</f>
        <v>মোছাঃ সাহার বানু</v>
      </c>
      <c r="G38" s="25" t="str">
        <f>IFERROR(__xludf.DUMMYFUNCTION("""COMPUTED_VALUE"""),"২৩/০৮/১৯৬৯")</f>
        <v>২৩/০৮/১৯৬৯</v>
      </c>
      <c r="H38" s="25" t="str">
        <f>IFERROR(__xludf.DUMMYFUNCTION("""COMPUTED_VALUE"""),"কৃষক")</f>
        <v>কৃষক</v>
      </c>
      <c r="I38" s="25" t="str">
        <f>IFERROR(__xludf.DUMMYFUNCTION("""COMPUTED_VALUE"""),"""জালশুকা")</f>
        <v>"জালশুকা</v>
      </c>
      <c r="J38" s="25" t="str">
        <f>IFERROR(__xludf.DUMMYFUNCTION("""COMPUTED_VALUE""")," গাংনী")</f>
        <v> গাংনী</v>
      </c>
      <c r="K38" s="25" t="str">
        <f>IFERROR(__xludf.DUMMYFUNCTION("""COMPUTED_VALUE""")," মেহেরপুর""")</f>
        <v> মেহেরপুর"</v>
      </c>
    </row>
    <row r="39">
      <c r="A39" s="24" t="s">
        <v>2732</v>
      </c>
      <c r="B39" s="25">
        <f>IFERROR(__xludf.DUMMYFUNCTION("SPLIT(A39,"","")"),145.0)</f>
        <v>145</v>
      </c>
      <c r="C39" s="25" t="str">
        <f>IFERROR(__xludf.DUMMYFUNCTION("""COMPUTED_VALUE"""),"মোঃ লাল্টু")</f>
        <v>মোঃ লাল্টু</v>
      </c>
      <c r="D39" s="25">
        <f>IFERROR(__xludf.DUMMYFUNCTION("""COMPUTED_VALUE"""),5.70156378067E11)</f>
        <v>570156378067</v>
      </c>
      <c r="E39" s="25" t="str">
        <f>IFERROR(__xludf.DUMMYFUNCTION("""COMPUTED_VALUE"""),"মোঃ শুকুর আলী")</f>
        <v>মোঃ শুকুর আলী</v>
      </c>
      <c r="F39" s="25" t="str">
        <f>IFERROR(__xludf.DUMMYFUNCTION("""COMPUTED_VALUE"""),"মোছাঃ হালিমা খাতুন")</f>
        <v>মোছাঃ হালিমা খাতুন</v>
      </c>
      <c r="G39" s="25" t="str">
        <f>IFERROR(__xludf.DUMMYFUNCTION("""COMPUTED_VALUE"""),"০১/০১/১৯৮৬")</f>
        <v>০১/০১/১৯৮৬</v>
      </c>
      <c r="H39" s="25" t="str">
        <f>IFERROR(__xludf.DUMMYFUNCTION("""COMPUTED_VALUE"""),"কৃষক")</f>
        <v>কৃষক</v>
      </c>
      <c r="I39" s="25" t="str">
        <f>IFERROR(__xludf.DUMMYFUNCTION("""COMPUTED_VALUE"""),"""জালশুকা")</f>
        <v>"জালশুকা</v>
      </c>
      <c r="J39" s="25" t="str">
        <f>IFERROR(__xludf.DUMMYFUNCTION("""COMPUTED_VALUE""")," গাংনী")</f>
        <v> গাংনী</v>
      </c>
      <c r="K39" s="25" t="str">
        <f>IFERROR(__xludf.DUMMYFUNCTION("""COMPUTED_VALUE""")," মেহেরপুর""")</f>
        <v> মেহেরপুর"</v>
      </c>
    </row>
    <row r="40">
      <c r="A40" s="24" t="s">
        <v>2733</v>
      </c>
      <c r="B40" s="25">
        <f>IFERROR(__xludf.DUMMYFUNCTION("SPLIT(A40,"","")"),146.0)</f>
        <v>146</v>
      </c>
      <c r="C40" s="25" t="str">
        <f>IFERROR(__xludf.DUMMYFUNCTION("""COMPUTED_VALUE"""),"মোঃ সেলিম হোসেন")</f>
        <v>মোঃ সেলিম হোসেন</v>
      </c>
      <c r="D40" s="25">
        <f>IFERROR(__xludf.DUMMYFUNCTION("""COMPUTED_VALUE"""),5.70156378071E11)</f>
        <v>570156378071</v>
      </c>
      <c r="E40" s="25" t="str">
        <f>IFERROR(__xludf.DUMMYFUNCTION("""COMPUTED_VALUE"""),"মোঃ বশিরুদ্দীন")</f>
        <v>মোঃ বশিরুদ্দীন</v>
      </c>
      <c r="F40" s="25" t="str">
        <f>IFERROR(__xludf.DUMMYFUNCTION("""COMPUTED_VALUE"""),"মোছাঃ আকলিমা")</f>
        <v>মোছাঃ আকলিমা</v>
      </c>
      <c r="G40" s="25" t="str">
        <f>IFERROR(__xludf.DUMMYFUNCTION("""COMPUTED_VALUE"""),"০৫/০৮/১৯৭৭")</f>
        <v>০৫/০৮/১৯৭৭</v>
      </c>
      <c r="H40" s="25" t="str">
        <f>IFERROR(__xludf.DUMMYFUNCTION("""COMPUTED_VALUE"""),"কৃষক")</f>
        <v>কৃষক</v>
      </c>
      <c r="I40" s="25" t="str">
        <f>IFERROR(__xludf.DUMMYFUNCTION("""COMPUTED_VALUE"""),"""জালশুকা")</f>
        <v>"জালশুকা</v>
      </c>
      <c r="J40" s="25" t="str">
        <f>IFERROR(__xludf.DUMMYFUNCTION("""COMPUTED_VALUE""")," গাংনী")</f>
        <v> গাংনী</v>
      </c>
      <c r="K40" s="25" t="str">
        <f>IFERROR(__xludf.DUMMYFUNCTION("""COMPUTED_VALUE""")," মেহেরপুর""")</f>
        <v> মেহেরপুর"</v>
      </c>
    </row>
    <row r="41">
      <c r="A41" s="24" t="s">
        <v>2734</v>
      </c>
      <c r="B41" s="25">
        <f>IFERROR(__xludf.DUMMYFUNCTION("SPLIT(A41,"","")"),147.0)</f>
        <v>147</v>
      </c>
      <c r="C41" s="25" t="str">
        <f>IFERROR(__xludf.DUMMYFUNCTION("""COMPUTED_VALUE"""),"মোঃ নাজমুল ইসলাম")</f>
        <v>মোঃ নাজমুল ইসলাম</v>
      </c>
      <c r="D41" s="25">
        <f>IFERROR(__xludf.DUMMYFUNCTION("""COMPUTED_VALUE"""),5.70156378072E11)</f>
        <v>570156378072</v>
      </c>
      <c r="E41" s="25" t="str">
        <f>IFERROR(__xludf.DUMMYFUNCTION("""COMPUTED_VALUE"""),"মোঃ বশিরুদ্দীন")</f>
        <v>মোঃ বশিরুদ্দীন</v>
      </c>
      <c r="F41" s="25" t="str">
        <f>IFERROR(__xludf.DUMMYFUNCTION("""COMPUTED_VALUE"""),"মোছাঃ আকলিমা")</f>
        <v>মোছাঃ আকলিমা</v>
      </c>
      <c r="G41" s="25" t="str">
        <f>IFERROR(__xludf.DUMMYFUNCTION("""COMPUTED_VALUE"""),"১৪/০২/১৯৮৭")</f>
        <v>১৪/০২/১৯৮৭</v>
      </c>
      <c r="H41" s="25" t="str">
        <f>IFERROR(__xludf.DUMMYFUNCTION("""COMPUTED_VALUE"""),"কৃষক")</f>
        <v>কৃষক</v>
      </c>
      <c r="I41" s="25" t="str">
        <f>IFERROR(__xludf.DUMMYFUNCTION("""COMPUTED_VALUE"""),"""জালশুকা মসজিদ পাড়া")</f>
        <v>"জালশুকা মসজিদ পাড়া</v>
      </c>
      <c r="J41" s="25" t="str">
        <f>IFERROR(__xludf.DUMMYFUNCTION("""COMPUTED_VALUE""")," গাংনী")</f>
        <v> গাংনী</v>
      </c>
      <c r="K41" s="25" t="str">
        <f>IFERROR(__xludf.DUMMYFUNCTION("""COMPUTED_VALUE""")," মেহেরপুর""")</f>
        <v> মেহেরপুর"</v>
      </c>
    </row>
    <row r="42">
      <c r="A42" s="24" t="s">
        <v>2735</v>
      </c>
      <c r="B42" s="25">
        <f>IFERROR(__xludf.DUMMYFUNCTION("SPLIT(A42,"","")"),148.0)</f>
        <v>148</v>
      </c>
      <c r="C42" s="25" t="str">
        <f>IFERROR(__xludf.DUMMYFUNCTION("""COMPUTED_VALUE"""),"মোঃ খায়রুল ইসলাম")</f>
        <v>মোঃ খায়রুল ইসলাম</v>
      </c>
      <c r="D42" s="25">
        <f>IFERROR(__xludf.DUMMYFUNCTION("""COMPUTED_VALUE"""),5.70156378074E11)</f>
        <v>570156378074</v>
      </c>
      <c r="E42" s="25" t="str">
        <f>IFERROR(__xludf.DUMMYFUNCTION("""COMPUTED_VALUE"""),"মোঃ ইউসুফ বিশ্বাস")</f>
        <v>মোঃ ইউসুফ বিশ্বাস</v>
      </c>
      <c r="F42" s="25" t="str">
        <f>IFERROR(__xludf.DUMMYFUNCTION("""COMPUTED_VALUE"""),"মোছাঃ জাহিদা খাতুন")</f>
        <v>মোছাঃ জাহিদা খাতুন</v>
      </c>
      <c r="G42" s="25" t="str">
        <f>IFERROR(__xludf.DUMMYFUNCTION("""COMPUTED_VALUE"""),"০৫/০৯/১৯৭৭")</f>
        <v>০৫/০৯/১৯৭৭</v>
      </c>
      <c r="H42" s="25" t="str">
        <f>IFERROR(__xludf.DUMMYFUNCTION("""COMPUTED_VALUE"""),"কৃষক")</f>
        <v>কৃষক</v>
      </c>
      <c r="I42" s="25" t="str">
        <f>IFERROR(__xludf.DUMMYFUNCTION("""COMPUTED_VALUE"""),"""জালশুকা")</f>
        <v>"জালশুকা</v>
      </c>
      <c r="J42" s="25" t="str">
        <f>IFERROR(__xludf.DUMMYFUNCTION("""COMPUTED_VALUE""")," গাংনী")</f>
        <v> গাংনী</v>
      </c>
      <c r="K42" s="25" t="str">
        <f>IFERROR(__xludf.DUMMYFUNCTION("""COMPUTED_VALUE""")," মেহেরপুর""")</f>
        <v> মেহেরপুর"</v>
      </c>
    </row>
    <row r="43">
      <c r="A43" s="24" t="s">
        <v>2736</v>
      </c>
      <c r="B43" s="25">
        <f>IFERROR(__xludf.DUMMYFUNCTION("SPLIT(A43,"","")"),149.0)</f>
        <v>149</v>
      </c>
      <c r="C43" s="25" t="str">
        <f>IFERROR(__xludf.DUMMYFUNCTION("""COMPUTED_VALUE"""),"মোঃ আনারুল ইসলাম")</f>
        <v>মোঃ আনারুল ইসলাম</v>
      </c>
      <c r="D43" s="25">
        <f>IFERROR(__xludf.DUMMYFUNCTION("""COMPUTED_VALUE"""),5.70156378075E11)</f>
        <v>570156378075</v>
      </c>
      <c r="E43" s="25" t="str">
        <f>IFERROR(__xludf.DUMMYFUNCTION("""COMPUTED_VALUE"""),"মোঃ ইউসুফ বিশ্বাস")</f>
        <v>মোঃ ইউসুফ বিশ্বাস</v>
      </c>
      <c r="F43" s="25" t="str">
        <f>IFERROR(__xludf.DUMMYFUNCTION("""COMPUTED_VALUE"""),"মোছাঃ জাহিদা খাতুন")</f>
        <v>মোছাঃ জাহিদা খাতুন</v>
      </c>
      <c r="G43" s="25" t="str">
        <f>IFERROR(__xludf.DUMMYFUNCTION("""COMPUTED_VALUE"""),"১৮/০৬/১৯৭২")</f>
        <v>১৮/০৬/১৯৭২</v>
      </c>
      <c r="H43" s="25" t="str">
        <f>IFERROR(__xludf.DUMMYFUNCTION("""COMPUTED_VALUE"""),"কৃষক")</f>
        <v>কৃষক</v>
      </c>
      <c r="I43" s="25" t="str">
        <f>IFERROR(__xludf.DUMMYFUNCTION("""COMPUTED_VALUE"""),"""জালশুকা")</f>
        <v>"জালশুকা</v>
      </c>
      <c r="J43" s="25" t="str">
        <f>IFERROR(__xludf.DUMMYFUNCTION("""COMPUTED_VALUE""")," গাংনী")</f>
        <v> গাংনী</v>
      </c>
      <c r="K43" s="25" t="str">
        <f>IFERROR(__xludf.DUMMYFUNCTION("""COMPUTED_VALUE""")," মেহেরপুর""")</f>
        <v> মেহেরপুর"</v>
      </c>
    </row>
    <row r="44">
      <c r="A44" s="24" t="s">
        <v>2737</v>
      </c>
      <c r="B44" s="25">
        <f>IFERROR(__xludf.DUMMYFUNCTION("SPLIT(A44,"","")"),150.0)</f>
        <v>150</v>
      </c>
      <c r="C44" s="25" t="str">
        <f>IFERROR(__xludf.DUMMYFUNCTION("""COMPUTED_VALUE"""),"মোঃ আবুহুদ্দীন")</f>
        <v>মোঃ আবুহুদ্দীন</v>
      </c>
      <c r="D44" s="25">
        <f>IFERROR(__xludf.DUMMYFUNCTION("""COMPUTED_VALUE"""),5.70156378076E11)</f>
        <v>570156378076</v>
      </c>
      <c r="E44" s="25" t="str">
        <f>IFERROR(__xludf.DUMMYFUNCTION("""COMPUTED_VALUE"""),"মোঃ আসান বিশ্বাস")</f>
        <v>মোঃ আসান বিশ্বাস</v>
      </c>
      <c r="F44" s="25" t="str">
        <f>IFERROR(__xludf.DUMMYFUNCTION("""COMPUTED_VALUE"""),"আজিরন খাতুন")</f>
        <v>আজিরন খাতুন</v>
      </c>
      <c r="G44" s="25" t="str">
        <f>IFERROR(__xludf.DUMMYFUNCTION("""COMPUTED_VALUE"""),"১৩/০৫/১৯৭৫")</f>
        <v>১৩/০৫/১৯৭৫</v>
      </c>
      <c r="H44" s="25" t="str">
        <f>IFERROR(__xludf.DUMMYFUNCTION("""COMPUTED_VALUE"""),"শ্রমিক")</f>
        <v>শ্রমিক</v>
      </c>
      <c r="I44" s="25" t="str">
        <f>IFERROR(__xludf.DUMMYFUNCTION("""COMPUTED_VALUE"""),"""জালশুকা উত্তর পাড়া")</f>
        <v>"জালশুকা উত্তর পাড়া</v>
      </c>
      <c r="J44" s="25" t="str">
        <f>IFERROR(__xludf.DUMMYFUNCTION("""COMPUTED_VALUE""")," গাংনী")</f>
        <v> গাংনী</v>
      </c>
      <c r="K44" s="25" t="str">
        <f>IFERROR(__xludf.DUMMYFUNCTION("""COMPUTED_VALUE""")," মেহেরপুর""")</f>
        <v> মেহেরপুর"</v>
      </c>
    </row>
    <row r="45">
      <c r="A45" s="24" t="s">
        <v>2738</v>
      </c>
      <c r="B45" s="25">
        <f>IFERROR(__xludf.DUMMYFUNCTION("SPLIT(A45,"","")"),151.0)</f>
        <v>151</v>
      </c>
      <c r="C45" s="25" t="str">
        <f>IFERROR(__xludf.DUMMYFUNCTION("""COMPUTED_VALUE"""),"মোঃ কুদ্দুস আলী")</f>
        <v>মোঃ কুদ্দুস আলী</v>
      </c>
      <c r="D45" s="25">
        <f>IFERROR(__xludf.DUMMYFUNCTION("""COMPUTED_VALUE"""),5.70156378077E11)</f>
        <v>570156378077</v>
      </c>
      <c r="E45" s="25" t="str">
        <f>IFERROR(__xludf.DUMMYFUNCTION("""COMPUTED_VALUE"""),"জাহা বকস")</f>
        <v>জাহা বকস</v>
      </c>
      <c r="F45" s="25" t="str">
        <f>IFERROR(__xludf.DUMMYFUNCTION("""COMPUTED_VALUE"""),"আনোয়ারা খাতুন")</f>
        <v>আনোয়ারা খাতুন</v>
      </c>
      <c r="G45" s="25" t="str">
        <f>IFERROR(__xludf.DUMMYFUNCTION("""COMPUTED_VALUE"""),"২৪/১২/১৯৭২")</f>
        <v>২৪/১২/১৯৭২</v>
      </c>
      <c r="H45" s="25" t="str">
        <f>IFERROR(__xludf.DUMMYFUNCTION("""COMPUTED_VALUE"""),"কৃষক")</f>
        <v>কৃষক</v>
      </c>
      <c r="I45" s="25" t="str">
        <f>IFERROR(__xludf.DUMMYFUNCTION("""COMPUTED_VALUE"""),"""জালশুকা")</f>
        <v>"জালশুকা</v>
      </c>
      <c r="J45" s="25" t="str">
        <f>IFERROR(__xludf.DUMMYFUNCTION("""COMPUTED_VALUE""")," গাংনী")</f>
        <v> গাংনী</v>
      </c>
      <c r="K45" s="25" t="str">
        <f>IFERROR(__xludf.DUMMYFUNCTION("""COMPUTED_VALUE""")," মেহেরপুর""")</f>
        <v> মেহেরপুর"</v>
      </c>
    </row>
    <row r="46">
      <c r="A46" s="24" t="s">
        <v>2739</v>
      </c>
      <c r="B46" s="25">
        <f>IFERROR(__xludf.DUMMYFUNCTION("SPLIT(A46,"","")"),152.0)</f>
        <v>152</v>
      </c>
      <c r="C46" s="25" t="str">
        <f>IFERROR(__xludf.DUMMYFUNCTION("""COMPUTED_VALUE"""),"মোঃ ইমদাদুল")</f>
        <v>মোঃ ইমদাদুল</v>
      </c>
      <c r="D46" s="25">
        <f>IFERROR(__xludf.DUMMYFUNCTION("""COMPUTED_VALUE"""),5.70156378078E11)</f>
        <v>570156378078</v>
      </c>
      <c r="E46" s="25" t="str">
        <f>IFERROR(__xludf.DUMMYFUNCTION("""COMPUTED_VALUE"""),"মোঃ আকবর আলী")</f>
        <v>মোঃ আকবর আলী</v>
      </c>
      <c r="F46" s="25" t="str">
        <f>IFERROR(__xludf.DUMMYFUNCTION("""COMPUTED_VALUE"""),"মোছাঃ মনোয়ারা খাতুন")</f>
        <v>মোছাঃ মনোয়ারা খাতুন</v>
      </c>
      <c r="G46" s="25" t="str">
        <f>IFERROR(__xludf.DUMMYFUNCTION("""COMPUTED_VALUE"""),"১০/০৮/১৯৭৯")</f>
        <v>১০/০৮/১৯৭৯</v>
      </c>
      <c r="H46" s="25" t="str">
        <f>IFERROR(__xludf.DUMMYFUNCTION("""COMPUTED_VALUE"""),"কৃষক")</f>
        <v>কৃষক</v>
      </c>
      <c r="I46" s="25" t="str">
        <f>IFERROR(__xludf.DUMMYFUNCTION("""COMPUTED_VALUE"""),"""জালশুকা উত্তর পাড়া")</f>
        <v>"জালশুকা উত্তর পাড়া</v>
      </c>
      <c r="J46" s="25" t="str">
        <f>IFERROR(__xludf.DUMMYFUNCTION("""COMPUTED_VALUE""")," গাংনী")</f>
        <v> গাংনী</v>
      </c>
      <c r="K46" s="25" t="str">
        <f>IFERROR(__xludf.DUMMYFUNCTION("""COMPUTED_VALUE""")," মেহেরপুর""")</f>
        <v> মেহেরপুর"</v>
      </c>
    </row>
    <row r="47">
      <c r="A47" s="24" t="s">
        <v>2740</v>
      </c>
      <c r="B47" s="25">
        <f>IFERROR(__xludf.DUMMYFUNCTION("SPLIT(A47,"","")"),153.0)</f>
        <v>153</v>
      </c>
      <c r="C47" s="25" t="str">
        <f>IFERROR(__xludf.DUMMYFUNCTION("""COMPUTED_VALUE"""),"মোঃ হাসান আলী")</f>
        <v>মোঃ হাসান আলী</v>
      </c>
      <c r="D47" s="25">
        <f>IFERROR(__xludf.DUMMYFUNCTION("""COMPUTED_VALUE"""),5.70156378079E11)</f>
        <v>570156378079</v>
      </c>
      <c r="E47" s="25" t="str">
        <f>IFERROR(__xludf.DUMMYFUNCTION("""COMPUTED_VALUE"""),"মোঃ ইউসুফ আলী")</f>
        <v>মোঃ ইউসুফ আলী</v>
      </c>
      <c r="F47" s="25" t="str">
        <f>IFERROR(__xludf.DUMMYFUNCTION("""COMPUTED_VALUE"""),"মোছাঃ জাহেদা খাতুন")</f>
        <v>মোছাঃ জাহেদা খাতুন</v>
      </c>
      <c r="G47" s="25" t="str">
        <f>IFERROR(__xludf.DUMMYFUNCTION("""COMPUTED_VALUE"""),"২০/০৪/১৯৮১")</f>
        <v>২০/০৪/১৯৮১</v>
      </c>
      <c r="H47" s="25" t="str">
        <f>IFERROR(__xludf.DUMMYFUNCTION("""COMPUTED_VALUE"""),"কৃষক")</f>
        <v>কৃষক</v>
      </c>
      <c r="I47" s="25" t="str">
        <f>IFERROR(__xludf.DUMMYFUNCTION("""COMPUTED_VALUE"""),"""জালশুকা")</f>
        <v>"জালশুকা</v>
      </c>
      <c r="J47" s="25" t="str">
        <f>IFERROR(__xludf.DUMMYFUNCTION("""COMPUTED_VALUE""")," গাংনী")</f>
        <v> গাংনী</v>
      </c>
      <c r="K47" s="25" t="str">
        <f>IFERROR(__xludf.DUMMYFUNCTION("""COMPUTED_VALUE""")," মেহেরপুর""")</f>
        <v> মেহেরপুর"</v>
      </c>
    </row>
    <row r="48">
      <c r="A48" s="24" t="s">
        <v>2741</v>
      </c>
      <c r="B48" s="25">
        <f>IFERROR(__xludf.DUMMYFUNCTION("SPLIT(A48,"","")"),154.0)</f>
        <v>154</v>
      </c>
      <c r="C48" s="25" t="str">
        <f>IFERROR(__xludf.DUMMYFUNCTION("""COMPUTED_VALUE"""),"মোঃ বিল্লাল হোসেন")</f>
        <v>মোঃ বিল্লাল হোসেন</v>
      </c>
      <c r="D48" s="25">
        <f>IFERROR(__xludf.DUMMYFUNCTION("""COMPUTED_VALUE"""),5.70156378084E11)</f>
        <v>570156378084</v>
      </c>
      <c r="E48" s="25" t="str">
        <f>IFERROR(__xludf.DUMMYFUNCTION("""COMPUTED_VALUE"""),"নবীছদ্দীন")</f>
        <v>নবীছদ্দীন</v>
      </c>
      <c r="F48" s="25" t="str">
        <f>IFERROR(__xludf.DUMMYFUNCTION("""COMPUTED_VALUE"""),"মোছাঃ সাহার বানু")</f>
        <v>মোছাঃ সাহার বানু</v>
      </c>
      <c r="G48" s="25" t="str">
        <f>IFERROR(__xludf.DUMMYFUNCTION("""COMPUTED_VALUE"""),"০৫/০২/১৯৭০")</f>
        <v>০৫/০২/১৯৭০</v>
      </c>
      <c r="H48" s="25" t="str">
        <f>IFERROR(__xludf.DUMMYFUNCTION("""COMPUTED_VALUE"""),"কৃষক")</f>
        <v>কৃষক</v>
      </c>
      <c r="I48" s="25" t="str">
        <f>IFERROR(__xludf.DUMMYFUNCTION("""COMPUTED_VALUE"""),"""জালশুকা")</f>
        <v>"জালশুকা</v>
      </c>
      <c r="J48" s="25" t="str">
        <f>IFERROR(__xludf.DUMMYFUNCTION("""COMPUTED_VALUE""")," গাংনী")</f>
        <v> গাংনী</v>
      </c>
      <c r="K48" s="25" t="str">
        <f>IFERROR(__xludf.DUMMYFUNCTION("""COMPUTED_VALUE""")," মেহেরপুর""")</f>
        <v> মেহেরপুর"</v>
      </c>
    </row>
    <row r="49">
      <c r="A49" s="24" t="s">
        <v>2742</v>
      </c>
      <c r="B49" s="25">
        <f>IFERROR(__xludf.DUMMYFUNCTION("SPLIT(A49,"","")"),155.0)</f>
        <v>155</v>
      </c>
      <c r="C49" s="25" t="str">
        <f>IFERROR(__xludf.DUMMYFUNCTION("""COMPUTED_VALUE"""),"মোঃ ইদ্রিস আলী")</f>
        <v>মোঃ ইদ্রিস আলী</v>
      </c>
      <c r="D49" s="25">
        <f>IFERROR(__xludf.DUMMYFUNCTION("""COMPUTED_VALUE"""),5.70156378085E11)</f>
        <v>570156378085</v>
      </c>
      <c r="E49" s="25" t="str">
        <f>IFERROR(__xludf.DUMMYFUNCTION("""COMPUTED_VALUE"""),"জাহাবক্স")</f>
        <v>জাহাবক্স</v>
      </c>
      <c r="F49" s="25" t="str">
        <f>IFERROR(__xludf.DUMMYFUNCTION("""COMPUTED_VALUE"""),"মোছাঃ আনোয়ারা খাতুন")</f>
        <v>মোছাঃ আনোয়ারা খাতুন</v>
      </c>
      <c r="G49" s="25" t="str">
        <f>IFERROR(__xludf.DUMMYFUNCTION("""COMPUTED_VALUE"""),"১৫/০৩/১৯৭২")</f>
        <v>১৫/০৩/১৯৭২</v>
      </c>
      <c r="H49" s="25" t="str">
        <f>IFERROR(__xludf.DUMMYFUNCTION("""COMPUTED_VALUE"""),"কৃষক")</f>
        <v>কৃষক</v>
      </c>
      <c r="I49" s="25" t="str">
        <f>IFERROR(__xludf.DUMMYFUNCTION("""COMPUTED_VALUE"""),"""জালশুকা")</f>
        <v>"জালশুকা</v>
      </c>
      <c r="J49" s="25" t="str">
        <f>IFERROR(__xludf.DUMMYFUNCTION("""COMPUTED_VALUE""")," গাংনী")</f>
        <v> গাংনী</v>
      </c>
      <c r="K49" s="25" t="str">
        <f>IFERROR(__xludf.DUMMYFUNCTION("""COMPUTED_VALUE""")," মেহেরপুর""")</f>
        <v> মেহেরপুর"</v>
      </c>
    </row>
    <row r="50">
      <c r="A50" s="24" t="s">
        <v>2743</v>
      </c>
      <c r="B50" s="25">
        <f>IFERROR(__xludf.DUMMYFUNCTION("SPLIT(A50,"","")"),156.0)</f>
        <v>156</v>
      </c>
      <c r="C50" s="25" t="str">
        <f>IFERROR(__xludf.DUMMYFUNCTION("""COMPUTED_VALUE"""),"মোঃ জহুরুল ইসলাম")</f>
        <v>মোঃ জহুরুল ইসলাম</v>
      </c>
      <c r="D50" s="25">
        <f>IFERROR(__xludf.DUMMYFUNCTION("""COMPUTED_VALUE"""),5.70156378086E11)</f>
        <v>570156378086</v>
      </c>
      <c r="E50" s="25" t="str">
        <f>IFERROR(__xludf.DUMMYFUNCTION("""COMPUTED_VALUE"""),"ছাদেক আলী")</f>
        <v>ছাদেক আলী</v>
      </c>
      <c r="F50" s="25" t="str">
        <f>IFERROR(__xludf.DUMMYFUNCTION("""COMPUTED_VALUE"""),"আমেনা খাতুন")</f>
        <v>আমেনা খাতুন</v>
      </c>
      <c r="G50" s="25" t="str">
        <f>IFERROR(__xludf.DUMMYFUNCTION("""COMPUTED_VALUE"""),"১৭/১১/১৯৮২")</f>
        <v>১৭/১১/১৯৮২</v>
      </c>
      <c r="H50" s="25" t="str">
        <f>IFERROR(__xludf.DUMMYFUNCTION("""COMPUTED_VALUE"""),"কৃষক")</f>
        <v>কৃষক</v>
      </c>
      <c r="I50" s="25" t="str">
        <f>IFERROR(__xludf.DUMMYFUNCTION("""COMPUTED_VALUE"""),"""জালশুকা")</f>
        <v>"জালশুকা</v>
      </c>
      <c r="J50" s="25" t="str">
        <f>IFERROR(__xludf.DUMMYFUNCTION("""COMPUTED_VALUE""")," গাংনী")</f>
        <v> গাংনী</v>
      </c>
      <c r="K50" s="25" t="str">
        <f>IFERROR(__xludf.DUMMYFUNCTION("""COMPUTED_VALUE""")," মেহেরপুর""")</f>
        <v> মেহেরপুর"</v>
      </c>
    </row>
    <row r="51">
      <c r="A51" s="24" t="s">
        <v>2744</v>
      </c>
      <c r="B51" s="25">
        <f>IFERROR(__xludf.DUMMYFUNCTION("SPLIT(A51,"","")"),157.0)</f>
        <v>157</v>
      </c>
      <c r="C51" s="25" t="str">
        <f>IFERROR(__xludf.DUMMYFUNCTION("""COMPUTED_VALUE"""),"মোঃ আয়ুব আলী")</f>
        <v>মোঃ আয়ুব আলী</v>
      </c>
      <c r="D51" s="25">
        <f>IFERROR(__xludf.DUMMYFUNCTION("""COMPUTED_VALUE"""),5.70156378095E11)</f>
        <v>570156378095</v>
      </c>
      <c r="E51" s="25" t="str">
        <f>IFERROR(__xludf.DUMMYFUNCTION("""COMPUTED_VALUE"""),"মোঃ হেলাল উদ্দীন")</f>
        <v>মোঃ হেলাল উদ্দীন</v>
      </c>
      <c r="F51" s="25" t="str">
        <f>IFERROR(__xludf.DUMMYFUNCTION("""COMPUTED_VALUE"""),"মোছাঃ ঝর্না খাতুন")</f>
        <v>মোছাঃ ঝর্না খাতুন</v>
      </c>
      <c r="G51" s="25" t="str">
        <f>IFERROR(__xludf.DUMMYFUNCTION("""COMPUTED_VALUE"""),"০৪/০৫/১৯৮৫")</f>
        <v>০৪/০৫/১৯৮৫</v>
      </c>
      <c r="H51" s="25" t="str">
        <f>IFERROR(__xludf.DUMMYFUNCTION("""COMPUTED_VALUE"""),"কৃষক")</f>
        <v>কৃষক</v>
      </c>
      <c r="I51" s="25" t="str">
        <f>IFERROR(__xludf.DUMMYFUNCTION("""COMPUTED_VALUE"""),"""জালশুকা")</f>
        <v>"জালশুকা</v>
      </c>
      <c r="J51" s="25" t="str">
        <f>IFERROR(__xludf.DUMMYFUNCTION("""COMPUTED_VALUE""")," গাংনী")</f>
        <v> গাংনী</v>
      </c>
      <c r="K51" s="25" t="str">
        <f>IFERROR(__xludf.DUMMYFUNCTION("""COMPUTED_VALUE""")," মেহেরপুর""")</f>
        <v> মেহেরপুর"</v>
      </c>
    </row>
    <row r="52">
      <c r="A52" s="24" t="s">
        <v>2745</v>
      </c>
      <c r="B52" s="25">
        <f>IFERROR(__xludf.DUMMYFUNCTION("SPLIT(A52,"","")"),158.0)</f>
        <v>158</v>
      </c>
      <c r="C52" s="25" t="str">
        <f>IFERROR(__xludf.DUMMYFUNCTION("""COMPUTED_VALUE"""),"মোঃ বাবুল হোসেন")</f>
        <v>মোঃ বাবুল হোসেন</v>
      </c>
      <c r="D52" s="25">
        <f>IFERROR(__xludf.DUMMYFUNCTION("""COMPUTED_VALUE"""),5.70156378098E11)</f>
        <v>570156378098</v>
      </c>
      <c r="E52" s="25" t="str">
        <f>IFERROR(__xludf.DUMMYFUNCTION("""COMPUTED_VALUE"""),"মোঃ জামাল উদ্দীন")</f>
        <v>মোঃ জামাল উদ্দীন</v>
      </c>
      <c r="F52" s="25" t="str">
        <f>IFERROR(__xludf.DUMMYFUNCTION("""COMPUTED_VALUE"""),"মোছাঃ আছিয়া খাতুন")</f>
        <v>মোছাঃ আছিয়া খাতুন</v>
      </c>
      <c r="G52" s="25" t="str">
        <f>IFERROR(__xludf.DUMMYFUNCTION("""COMPUTED_VALUE"""),"১২/০৫/১৯৮৫")</f>
        <v>১২/০৫/১৯৮৫</v>
      </c>
      <c r="H52" s="25" t="str">
        <f>IFERROR(__xludf.DUMMYFUNCTION("""COMPUTED_VALUE"""),"কৃষক")</f>
        <v>কৃষক</v>
      </c>
      <c r="I52" s="25" t="str">
        <f>IFERROR(__xludf.DUMMYFUNCTION("""COMPUTED_VALUE"""),"""জালশুকা")</f>
        <v>"জালশুকা</v>
      </c>
      <c r="J52" s="25" t="str">
        <f>IFERROR(__xludf.DUMMYFUNCTION("""COMPUTED_VALUE""")," গাংনী")</f>
        <v> গাংনী</v>
      </c>
      <c r="K52" s="25" t="str">
        <f>IFERROR(__xludf.DUMMYFUNCTION("""COMPUTED_VALUE""")," মেহেরপুর""")</f>
        <v> মেহেরপুর"</v>
      </c>
    </row>
    <row r="53">
      <c r="A53" s="24" t="s">
        <v>2746</v>
      </c>
      <c r="B53" s="25">
        <f>IFERROR(__xludf.DUMMYFUNCTION("SPLIT(A53,"","")"),159.0)</f>
        <v>159</v>
      </c>
      <c r="C53" s="25" t="str">
        <f>IFERROR(__xludf.DUMMYFUNCTION("""COMPUTED_VALUE"""),"মোঃ আশাদুল ইসলাম")</f>
        <v>মোঃ আশাদুল ইসলাম</v>
      </c>
      <c r="D53" s="25">
        <f>IFERROR(__xludf.DUMMYFUNCTION("""COMPUTED_VALUE"""),5.70156378099E11)</f>
        <v>570156378099</v>
      </c>
      <c r="E53" s="25" t="str">
        <f>IFERROR(__xludf.DUMMYFUNCTION("""COMPUTED_VALUE"""),"মোঃ আঃ বারেক")</f>
        <v>মোঃ আঃ বারেক</v>
      </c>
      <c r="F53" s="25" t="str">
        <f>IFERROR(__xludf.DUMMYFUNCTION("""COMPUTED_VALUE"""),"মোছাঃ সুফিয়া খাতুন")</f>
        <v>মোছাঃ সুফিয়া খাতুন</v>
      </c>
      <c r="G53" s="25" t="str">
        <f>IFERROR(__xludf.DUMMYFUNCTION("""COMPUTED_VALUE"""),"১৫/১১/১৯৭৫")</f>
        <v>১৫/১১/১৯৭৫</v>
      </c>
      <c r="H53" s="25" t="str">
        <f>IFERROR(__xludf.DUMMYFUNCTION("""COMPUTED_VALUE"""),"দিনমজুর")</f>
        <v>দিনমজুর</v>
      </c>
      <c r="I53" s="25" t="str">
        <f>IFERROR(__xludf.DUMMYFUNCTION("""COMPUTED_VALUE"""),"""জালশুকা")</f>
        <v>"জালশুকা</v>
      </c>
      <c r="J53" s="25" t="str">
        <f>IFERROR(__xludf.DUMMYFUNCTION("""COMPUTED_VALUE""")," গাংনী")</f>
        <v> গাংনী</v>
      </c>
      <c r="K53" s="25" t="str">
        <f>IFERROR(__xludf.DUMMYFUNCTION("""COMPUTED_VALUE""")," মেহেরপুর""")</f>
        <v> মেহেরপুর"</v>
      </c>
    </row>
    <row r="54">
      <c r="A54" s="24" t="s">
        <v>2747</v>
      </c>
      <c r="B54" s="25">
        <f>IFERROR(__xludf.DUMMYFUNCTION("SPLIT(A54,"","")"),160.0)</f>
        <v>160</v>
      </c>
      <c r="C54" s="25" t="str">
        <f>IFERROR(__xludf.DUMMYFUNCTION("""COMPUTED_VALUE"""),"মোঃ খবির উদ্দীন")</f>
        <v>মোঃ খবির উদ্দীন</v>
      </c>
      <c r="D54" s="25">
        <f>IFERROR(__xludf.DUMMYFUNCTION("""COMPUTED_VALUE"""),5.70156378103E11)</f>
        <v>570156378103</v>
      </c>
      <c r="E54" s="25" t="str">
        <f>IFERROR(__xludf.DUMMYFUNCTION("""COMPUTED_VALUE"""),"ওয়াজ বক্স মালিথা")</f>
        <v>ওয়াজ বক্স মালিথা</v>
      </c>
      <c r="F54" s="25" t="str">
        <f>IFERROR(__xludf.DUMMYFUNCTION("""COMPUTED_VALUE"""),"মোছাঃ ইজারন নেছা")</f>
        <v>মোছাঃ ইজারন নেছা</v>
      </c>
      <c r="G54" s="25" t="str">
        <f>IFERROR(__xludf.DUMMYFUNCTION("""COMPUTED_VALUE"""),"১০/০২/১৯৬১")</f>
        <v>১০/০২/১৯৬১</v>
      </c>
      <c r="H54" s="25" t="str">
        <f>IFERROR(__xludf.DUMMYFUNCTION("""COMPUTED_VALUE"""),"কৃষক")</f>
        <v>কৃষক</v>
      </c>
      <c r="I54" s="25" t="str">
        <f>IFERROR(__xludf.DUMMYFUNCTION("""COMPUTED_VALUE"""),"""জালশুকা")</f>
        <v>"জালশুকা</v>
      </c>
      <c r="J54" s="25" t="str">
        <f>IFERROR(__xludf.DUMMYFUNCTION("""COMPUTED_VALUE""")," গাংনী")</f>
        <v> গাংনী</v>
      </c>
      <c r="K54" s="25" t="str">
        <f>IFERROR(__xludf.DUMMYFUNCTION("""COMPUTED_VALUE""")," মেহেরপুর""")</f>
        <v> মেহেরপুর"</v>
      </c>
    </row>
    <row r="55">
      <c r="A55" s="24" t="s">
        <v>2748</v>
      </c>
      <c r="B55" s="25">
        <f>IFERROR(__xludf.DUMMYFUNCTION("SPLIT(A55,"","")"),161.0)</f>
        <v>161</v>
      </c>
      <c r="C55" s="25" t="str">
        <f>IFERROR(__xludf.DUMMYFUNCTION("""COMPUTED_VALUE"""),"মোঃ দবির উদ্দীন")</f>
        <v>মোঃ দবির উদ্দীন</v>
      </c>
      <c r="D55" s="25">
        <f>IFERROR(__xludf.DUMMYFUNCTION("""COMPUTED_VALUE"""),5.70156378104E11)</f>
        <v>570156378104</v>
      </c>
      <c r="E55" s="25" t="str">
        <f>IFERROR(__xludf.DUMMYFUNCTION("""COMPUTED_VALUE"""),"ওয়াজ বক্স মালিথা")</f>
        <v>ওয়াজ বক্স মালিথা</v>
      </c>
      <c r="F55" s="25" t="str">
        <f>IFERROR(__xludf.DUMMYFUNCTION("""COMPUTED_VALUE"""),"মোছাঃ ইজারন নেছা")</f>
        <v>মোছাঃ ইজারন নেছা</v>
      </c>
      <c r="G55" s="25" t="str">
        <f>IFERROR(__xludf.DUMMYFUNCTION("""COMPUTED_VALUE"""),"২০/০২/১৯৫৯")</f>
        <v>২০/০২/১৯৫৯</v>
      </c>
      <c r="H55" s="25" t="str">
        <f>IFERROR(__xludf.DUMMYFUNCTION("""COMPUTED_VALUE"""),"কৃষক")</f>
        <v>কৃষক</v>
      </c>
      <c r="I55" s="25" t="str">
        <f>IFERROR(__xludf.DUMMYFUNCTION("""COMPUTED_VALUE"""),"""জালশুকা")</f>
        <v>"জালশুকা</v>
      </c>
      <c r="J55" s="25" t="str">
        <f>IFERROR(__xludf.DUMMYFUNCTION("""COMPUTED_VALUE""")," গাংনী")</f>
        <v> গাংনী</v>
      </c>
      <c r="K55" s="25" t="str">
        <f>IFERROR(__xludf.DUMMYFUNCTION("""COMPUTED_VALUE""")," মেহেরপুর""")</f>
        <v> মেহেরপুর"</v>
      </c>
    </row>
    <row r="56">
      <c r="A56" s="24" t="s">
        <v>2749</v>
      </c>
      <c r="B56" s="25">
        <f>IFERROR(__xludf.DUMMYFUNCTION("SPLIT(A56,"","")"),162.0)</f>
        <v>162</v>
      </c>
      <c r="C56" s="25" t="str">
        <f>IFERROR(__xludf.DUMMYFUNCTION("""COMPUTED_VALUE"""),"মোঃ মুকুল হোসেন")</f>
        <v>মোঃ মুকুল হোসেন</v>
      </c>
      <c r="D56" s="25">
        <f>IFERROR(__xludf.DUMMYFUNCTION("""COMPUTED_VALUE"""),5.70156378105E11)</f>
        <v>570156378105</v>
      </c>
      <c r="E56" s="25" t="str">
        <f>IFERROR(__xludf.DUMMYFUNCTION("""COMPUTED_VALUE"""),"মোঃ মনসুর আলী")</f>
        <v>মোঃ মনসুর আলী</v>
      </c>
      <c r="F56" s="25" t="str">
        <f>IFERROR(__xludf.DUMMYFUNCTION("""COMPUTED_VALUE"""),"মোছাঃ কহিনুর নেছা")</f>
        <v>মোছাঃ কহিনুর নেছা</v>
      </c>
      <c r="G56" s="25" t="str">
        <f>IFERROR(__xludf.DUMMYFUNCTION("""COMPUTED_VALUE"""),"০৫/০৮/১৯৬৬")</f>
        <v>০৫/০৮/১৯৬৬</v>
      </c>
      <c r="H56" s="25" t="str">
        <f>IFERROR(__xludf.DUMMYFUNCTION("""COMPUTED_VALUE"""),"কৃষক")</f>
        <v>কৃষক</v>
      </c>
      <c r="I56" s="25" t="str">
        <f>IFERROR(__xludf.DUMMYFUNCTION("""COMPUTED_VALUE"""),"""জালশুকা")</f>
        <v>"জালশুকা</v>
      </c>
      <c r="J56" s="25" t="str">
        <f>IFERROR(__xludf.DUMMYFUNCTION("""COMPUTED_VALUE""")," গাংনী")</f>
        <v> গাংনী</v>
      </c>
      <c r="K56" s="25" t="str">
        <f>IFERROR(__xludf.DUMMYFUNCTION("""COMPUTED_VALUE""")," মেহেরপুর""")</f>
        <v> মেহেরপুর"</v>
      </c>
    </row>
    <row r="57">
      <c r="A57" s="24" t="s">
        <v>2750</v>
      </c>
      <c r="B57" s="25">
        <f>IFERROR(__xludf.DUMMYFUNCTION("SPLIT(A57,"","")"),163.0)</f>
        <v>163</v>
      </c>
      <c r="C57" s="25" t="str">
        <f>IFERROR(__xludf.DUMMYFUNCTION("""COMPUTED_VALUE"""),"মোঃ বকুল হোসেন")</f>
        <v>মোঃ বকুল হোসেন</v>
      </c>
      <c r="D57" s="25">
        <f>IFERROR(__xludf.DUMMYFUNCTION("""COMPUTED_VALUE"""),5.70156378107E11)</f>
        <v>570156378107</v>
      </c>
      <c r="E57" s="25" t="str">
        <f>IFERROR(__xludf.DUMMYFUNCTION("""COMPUTED_VALUE"""),"মোঃ মনছুর আলী")</f>
        <v>মোঃ মনছুর আলী</v>
      </c>
      <c r="F57" s="25" t="str">
        <f>IFERROR(__xludf.DUMMYFUNCTION("""COMPUTED_VALUE"""),"মোছাঃ কহিনুর নেছা")</f>
        <v>মোছাঃ কহিনুর নেছা</v>
      </c>
      <c r="G57" s="25" t="str">
        <f>IFERROR(__xludf.DUMMYFUNCTION("""COMPUTED_VALUE"""),"৩১/১২/১৯৮০")</f>
        <v>৩১/১২/১৯৮০</v>
      </c>
      <c r="H57" s="25" t="str">
        <f>IFERROR(__xludf.DUMMYFUNCTION("""COMPUTED_VALUE"""),"কৃষক")</f>
        <v>কৃষক</v>
      </c>
      <c r="I57" s="25" t="str">
        <f>IFERROR(__xludf.DUMMYFUNCTION("""COMPUTED_VALUE"""),"""জালশুকা")</f>
        <v>"জালশুকা</v>
      </c>
      <c r="J57" s="25" t="str">
        <f>IFERROR(__xludf.DUMMYFUNCTION("""COMPUTED_VALUE""")," গাংনী")</f>
        <v> গাংনী</v>
      </c>
      <c r="K57" s="25" t="str">
        <f>IFERROR(__xludf.DUMMYFUNCTION("""COMPUTED_VALUE""")," মেহেরপুর""")</f>
        <v> মেহেরপুর"</v>
      </c>
    </row>
    <row r="58">
      <c r="A58" s="24" t="s">
        <v>2751</v>
      </c>
      <c r="B58" s="25">
        <f>IFERROR(__xludf.DUMMYFUNCTION("SPLIT(A58,"","")"),164.0)</f>
        <v>164</v>
      </c>
      <c r="C58" s="25" t="str">
        <f>IFERROR(__xludf.DUMMYFUNCTION("""COMPUTED_VALUE"""),"মোঃ আশাদুল হক")</f>
        <v>মোঃ আশাদুল হক</v>
      </c>
      <c r="D58" s="25">
        <f>IFERROR(__xludf.DUMMYFUNCTION("""COMPUTED_VALUE"""),5.7015637811E11)</f>
        <v>570156378110</v>
      </c>
      <c r="E58" s="25" t="str">
        <f>IFERROR(__xludf.DUMMYFUNCTION("""COMPUTED_VALUE"""),"ওয়াজ বক্স")</f>
        <v>ওয়াজ বক্স</v>
      </c>
      <c r="F58" s="25" t="str">
        <f>IFERROR(__xludf.DUMMYFUNCTION("""COMPUTED_VALUE"""),"মোছাঃ ইজারন নেছা")</f>
        <v>মোছাঃ ইজারন নেছা</v>
      </c>
      <c r="G58" s="25" t="str">
        <f>IFERROR(__xludf.DUMMYFUNCTION("""COMPUTED_VALUE"""),"২৫/০২/১৯৭৪")</f>
        <v>২৫/০২/১৯৭৪</v>
      </c>
      <c r="H58" s="25" t="str">
        <f>IFERROR(__xludf.DUMMYFUNCTION("""COMPUTED_VALUE"""),"কৃষক")</f>
        <v>কৃষক</v>
      </c>
      <c r="I58" s="25" t="str">
        <f>IFERROR(__xludf.DUMMYFUNCTION("""COMPUTED_VALUE"""),"""জালশুকা")</f>
        <v>"জালশুকা</v>
      </c>
      <c r="J58" s="25" t="str">
        <f>IFERROR(__xludf.DUMMYFUNCTION("""COMPUTED_VALUE""")," গাংনী")</f>
        <v> গাংনী</v>
      </c>
      <c r="K58" s="25" t="str">
        <f>IFERROR(__xludf.DUMMYFUNCTION("""COMPUTED_VALUE""")," মেহেরপুর""")</f>
        <v> মেহেরপুর"</v>
      </c>
    </row>
    <row r="59">
      <c r="A59" s="24" t="s">
        <v>2752</v>
      </c>
      <c r="B59" s="25">
        <f>IFERROR(__xludf.DUMMYFUNCTION("SPLIT(A59,"","")"),165.0)</f>
        <v>165</v>
      </c>
      <c r="C59" s="25" t="str">
        <f>IFERROR(__xludf.DUMMYFUNCTION("""COMPUTED_VALUE"""),"মোঃ নাসির উদ্দীন")</f>
        <v>মোঃ নাসির উদ্দীন</v>
      </c>
      <c r="D59" s="25">
        <f>IFERROR(__xludf.DUMMYFUNCTION("""COMPUTED_VALUE"""),5.70156378112E11)</f>
        <v>570156378112</v>
      </c>
      <c r="E59" s="25" t="str">
        <f>IFERROR(__xludf.DUMMYFUNCTION("""COMPUTED_VALUE"""),"ওয়াজ বক্স মালিথা")</f>
        <v>ওয়াজ বক্স মালিথা</v>
      </c>
      <c r="F59" s="25" t="str">
        <f>IFERROR(__xludf.DUMMYFUNCTION("""COMPUTED_VALUE"""),"মোছাঃ ইজারন নেছা")</f>
        <v>মোছাঃ ইজারন নেছা</v>
      </c>
      <c r="G59" s="25" t="str">
        <f>IFERROR(__xludf.DUMMYFUNCTION("""COMPUTED_VALUE"""),"০২/০২/১৯৭২")</f>
        <v>০২/০২/১৯৭২</v>
      </c>
      <c r="H59" s="25" t="str">
        <f>IFERROR(__xludf.DUMMYFUNCTION("""COMPUTED_VALUE"""),"কৃষক")</f>
        <v>কৃষক</v>
      </c>
      <c r="I59" s="25" t="str">
        <f>IFERROR(__xludf.DUMMYFUNCTION("""COMPUTED_VALUE"""),"""জালশুকা")</f>
        <v>"জালশুকা</v>
      </c>
      <c r="J59" s="25" t="str">
        <f>IFERROR(__xludf.DUMMYFUNCTION("""COMPUTED_VALUE""")," গাংনী")</f>
        <v> গাংনী</v>
      </c>
      <c r="K59" s="25" t="str">
        <f>IFERROR(__xludf.DUMMYFUNCTION("""COMPUTED_VALUE""")," মেহেরপুর""")</f>
        <v> মেহেরপুর"</v>
      </c>
    </row>
    <row r="60">
      <c r="A60" s="24" t="s">
        <v>2753</v>
      </c>
      <c r="B60" s="25">
        <f>IFERROR(__xludf.DUMMYFUNCTION("SPLIT(A60,"","")"),166.0)</f>
        <v>166</v>
      </c>
      <c r="C60" s="25" t="str">
        <f>IFERROR(__xludf.DUMMYFUNCTION("""COMPUTED_VALUE"""),"মোঃ সাইফুল ইসলাম")</f>
        <v>মোঃ সাইফুল ইসলাম</v>
      </c>
      <c r="D60" s="25">
        <f>IFERROR(__xludf.DUMMYFUNCTION("""COMPUTED_VALUE"""),5.70156378114E11)</f>
        <v>570156378114</v>
      </c>
      <c r="E60" s="25" t="str">
        <f>IFERROR(__xludf.DUMMYFUNCTION("""COMPUTED_VALUE"""),"মোঃ দবির উদ্দীন")</f>
        <v>মোঃ দবির উদ্দীন</v>
      </c>
      <c r="F60" s="25" t="str">
        <f>IFERROR(__xludf.DUMMYFUNCTION("""COMPUTED_VALUE"""),"মোছাঃ রিজিয়া খাতুন")</f>
        <v>মোছাঃ রিজিয়া খাতুন</v>
      </c>
      <c r="G60" s="25" t="str">
        <f>IFERROR(__xludf.DUMMYFUNCTION("""COMPUTED_VALUE"""),"৩১/১২/১৯৮৩")</f>
        <v>৩১/১২/১৯৮৩</v>
      </c>
      <c r="H60" s="25" t="str">
        <f>IFERROR(__xludf.DUMMYFUNCTION("""COMPUTED_VALUE"""),"ছাত্র/ছাত্রী")</f>
        <v>ছাত্র/ছাত্রী</v>
      </c>
      <c r="I60" s="25" t="str">
        <f>IFERROR(__xludf.DUMMYFUNCTION("""COMPUTED_VALUE"""),"""জালশুকা")</f>
        <v>"জালশুকা</v>
      </c>
      <c r="J60" s="25" t="str">
        <f>IFERROR(__xludf.DUMMYFUNCTION("""COMPUTED_VALUE""")," গাংনী")</f>
        <v> গাংনী</v>
      </c>
      <c r="K60" s="25" t="str">
        <f>IFERROR(__xludf.DUMMYFUNCTION("""COMPUTED_VALUE""")," মেহেরপুর""")</f>
        <v> মেহেরপুর"</v>
      </c>
    </row>
    <row r="61">
      <c r="A61" s="24" t="s">
        <v>2754</v>
      </c>
      <c r="B61" s="25">
        <f>IFERROR(__xludf.DUMMYFUNCTION("SPLIT(A61,"","")"),167.0)</f>
        <v>167</v>
      </c>
      <c r="C61" s="25" t="str">
        <f>IFERROR(__xludf.DUMMYFUNCTION("""COMPUTED_VALUE"""),"মোঃ আলামিন মালিথা")</f>
        <v>মোঃ আলামিন মালিথা</v>
      </c>
      <c r="D61" s="25">
        <f>IFERROR(__xludf.DUMMYFUNCTION("""COMPUTED_VALUE"""),5.70156378115E11)</f>
        <v>570156378115</v>
      </c>
      <c r="E61" s="25" t="str">
        <f>IFERROR(__xludf.DUMMYFUNCTION("""COMPUTED_VALUE"""),"মোঃ দবির উদ্দীন")</f>
        <v>মোঃ দবির উদ্দীন</v>
      </c>
      <c r="F61" s="25" t="str">
        <f>IFERROR(__xludf.DUMMYFUNCTION("""COMPUTED_VALUE"""),"মোছাঃ রিজিয়া খাতুন")</f>
        <v>মোছাঃ রিজিয়া খাতুন</v>
      </c>
      <c r="G61" s="25" t="str">
        <f>IFERROR(__xludf.DUMMYFUNCTION("""COMPUTED_VALUE"""),"১১/০১/১৯৮৭")</f>
        <v>১১/০১/১৯৮৭</v>
      </c>
      <c r="H61" s="25" t="str">
        <f>IFERROR(__xludf.DUMMYFUNCTION("""COMPUTED_VALUE"""),"কৃষক")</f>
        <v>কৃষক</v>
      </c>
      <c r="I61" s="25" t="str">
        <f>IFERROR(__xludf.DUMMYFUNCTION("""COMPUTED_VALUE"""),"""জালশুকা")</f>
        <v>"জালশুকা</v>
      </c>
      <c r="J61" s="25" t="str">
        <f>IFERROR(__xludf.DUMMYFUNCTION("""COMPUTED_VALUE""")," গাংনী")</f>
        <v> গাংনী</v>
      </c>
      <c r="K61" s="25" t="str">
        <f>IFERROR(__xludf.DUMMYFUNCTION("""COMPUTED_VALUE""")," মেহেরপুর""")</f>
        <v> মেহেরপুর"</v>
      </c>
    </row>
    <row r="62">
      <c r="A62" s="24" t="s">
        <v>2755</v>
      </c>
      <c r="B62" s="25">
        <f>IFERROR(__xludf.DUMMYFUNCTION("SPLIT(A62,"","")"),168.0)</f>
        <v>168</v>
      </c>
      <c r="C62" s="25" t="str">
        <f>IFERROR(__xludf.DUMMYFUNCTION("""COMPUTED_VALUE"""),"মোঃ রবিউল হক")</f>
        <v>মোঃ রবিউল হক</v>
      </c>
      <c r="D62" s="25">
        <f>IFERROR(__xludf.DUMMYFUNCTION("""COMPUTED_VALUE"""),5.70156378117E11)</f>
        <v>570156378117</v>
      </c>
      <c r="E62" s="25" t="str">
        <f>IFERROR(__xludf.DUMMYFUNCTION("""COMPUTED_VALUE"""),"ওয়াজ বক্স মালিথা")</f>
        <v>ওয়াজ বক্স মালিথা</v>
      </c>
      <c r="F62" s="25" t="str">
        <f>IFERROR(__xludf.DUMMYFUNCTION("""COMPUTED_VALUE"""),"মোছাঃ ইজারন নেছা")</f>
        <v>মোছাঃ ইজারন নেছা</v>
      </c>
      <c r="G62" s="25" t="str">
        <f>IFERROR(__xludf.DUMMYFUNCTION("""COMPUTED_VALUE"""),"১৭/০৪/১৯৪৫")</f>
        <v>১৭/০৪/১৯৪৫</v>
      </c>
      <c r="H62" s="25" t="str">
        <f>IFERROR(__xludf.DUMMYFUNCTION("""COMPUTED_VALUE"""),"কৃষক")</f>
        <v>কৃষক</v>
      </c>
      <c r="I62" s="25" t="str">
        <f>IFERROR(__xludf.DUMMYFUNCTION("""COMPUTED_VALUE"""),"""জালশুকা")</f>
        <v>"জালশুকা</v>
      </c>
      <c r="J62" s="25" t="str">
        <f>IFERROR(__xludf.DUMMYFUNCTION("""COMPUTED_VALUE""")," গাংনী")</f>
        <v> গাংনী</v>
      </c>
      <c r="K62" s="25" t="str">
        <f>IFERROR(__xludf.DUMMYFUNCTION("""COMPUTED_VALUE""")," মেহেরপুর""")</f>
        <v> মেহেরপুর"</v>
      </c>
    </row>
    <row r="63">
      <c r="A63" s="24" t="s">
        <v>2756</v>
      </c>
      <c r="B63" s="25">
        <f>IFERROR(__xludf.DUMMYFUNCTION("SPLIT(A63,"","")"),169.0)</f>
        <v>169</v>
      </c>
      <c r="C63" s="25" t="str">
        <f>IFERROR(__xludf.DUMMYFUNCTION("""COMPUTED_VALUE"""),"মোঃ তোফাজ্জেল হোসেন")</f>
        <v>মোঃ তোফাজ্জেল হোসেন</v>
      </c>
      <c r="D63" s="25">
        <f>IFERROR(__xludf.DUMMYFUNCTION("""COMPUTED_VALUE"""),5.70156378119E11)</f>
        <v>570156378119</v>
      </c>
      <c r="E63" s="25" t="str">
        <f>IFERROR(__xludf.DUMMYFUNCTION("""COMPUTED_VALUE"""),"উম্মাদ আলী")</f>
        <v>উম্মাদ আলী</v>
      </c>
      <c r="F63" s="25" t="str">
        <f>IFERROR(__xludf.DUMMYFUNCTION("""COMPUTED_VALUE"""),"মোছাঃ রবিয়া খাতুন")</f>
        <v>মোছাঃ রবিয়া খাতুন</v>
      </c>
      <c r="G63" s="25" t="str">
        <f>IFERROR(__xludf.DUMMYFUNCTION("""COMPUTED_VALUE"""),"০৫/০৬/১৯৬১")</f>
        <v>০৫/০৬/১৯৬১</v>
      </c>
      <c r="H63" s="25" t="str">
        <f>IFERROR(__xludf.DUMMYFUNCTION("""COMPUTED_VALUE"""),"ব্যবসা")</f>
        <v>ব্যবসা</v>
      </c>
      <c r="I63" s="25" t="str">
        <f>IFERROR(__xludf.DUMMYFUNCTION("""COMPUTED_VALUE"""),"""জালশুকা")</f>
        <v>"জালশুকা</v>
      </c>
      <c r="J63" s="25" t="str">
        <f>IFERROR(__xludf.DUMMYFUNCTION("""COMPUTED_VALUE""")," গাংনী")</f>
        <v> গাংনী</v>
      </c>
      <c r="K63" s="25" t="str">
        <f>IFERROR(__xludf.DUMMYFUNCTION("""COMPUTED_VALUE""")," মেহেরপুর""")</f>
        <v> মেহেরপুর"</v>
      </c>
    </row>
    <row r="64">
      <c r="A64" s="24" t="s">
        <v>2757</v>
      </c>
      <c r="B64" s="25">
        <f>IFERROR(__xludf.DUMMYFUNCTION("SPLIT(A64,"","")"),170.0)</f>
        <v>170</v>
      </c>
      <c r="C64" s="25" t="str">
        <f>IFERROR(__xludf.DUMMYFUNCTION("""COMPUTED_VALUE"""),"মোঃ আলেকচাঁদ")</f>
        <v>মোঃ আলেকচাঁদ</v>
      </c>
      <c r="D64" s="25">
        <f>IFERROR(__xludf.DUMMYFUNCTION("""COMPUTED_VALUE"""),5.7015637812E11)</f>
        <v>570156378120</v>
      </c>
      <c r="E64" s="25" t="str">
        <f>IFERROR(__xludf.DUMMYFUNCTION("""COMPUTED_VALUE"""),"মোঃ তোফাজ্জেল হোসেন")</f>
        <v>মোঃ তোফাজ্জেল হোসেন</v>
      </c>
      <c r="F64" s="25" t="str">
        <f>IFERROR(__xludf.DUMMYFUNCTION("""COMPUTED_VALUE"""),"মোছাঃ মাবিয়া খাতুন")</f>
        <v>মোছাঃ মাবিয়া খাতুন</v>
      </c>
      <c r="G64" s="25" t="str">
        <f>IFERROR(__xludf.DUMMYFUNCTION("""COMPUTED_VALUE"""),"০৭/০৬/১৯৮২")</f>
        <v>০৭/০৬/১৯৮২</v>
      </c>
      <c r="H64" s="25" t="str">
        <f>IFERROR(__xludf.DUMMYFUNCTION("""COMPUTED_VALUE"""),"কৃষক")</f>
        <v>কৃষক</v>
      </c>
      <c r="I64" s="25" t="str">
        <f>IFERROR(__xludf.DUMMYFUNCTION("""COMPUTED_VALUE"""),"""জালশুকা")</f>
        <v>"জালশুকা</v>
      </c>
      <c r="J64" s="25" t="str">
        <f>IFERROR(__xludf.DUMMYFUNCTION("""COMPUTED_VALUE""")," গাংনী")</f>
        <v> গাংনী</v>
      </c>
      <c r="K64" s="25" t="str">
        <f>IFERROR(__xludf.DUMMYFUNCTION("""COMPUTED_VALUE""")," মেহেরপুর""")</f>
        <v> মেহেরপুর"</v>
      </c>
    </row>
    <row r="65">
      <c r="A65" s="24" t="s">
        <v>2758</v>
      </c>
      <c r="B65" s="25">
        <f>IFERROR(__xludf.DUMMYFUNCTION("SPLIT(A65,"","")"),171.0)</f>
        <v>171</v>
      </c>
      <c r="C65" s="25" t="str">
        <f>IFERROR(__xludf.DUMMYFUNCTION("""COMPUTED_VALUE"""),"মোঃ রতন আলী")</f>
        <v>মোঃ রতন আলী</v>
      </c>
      <c r="D65" s="25">
        <f>IFERROR(__xludf.DUMMYFUNCTION("""COMPUTED_VALUE"""),5.70156378128E11)</f>
        <v>570156378128</v>
      </c>
      <c r="E65" s="25" t="str">
        <f>IFERROR(__xludf.DUMMYFUNCTION("""COMPUTED_VALUE"""),"মোঃ বুদু আলী")</f>
        <v>মোঃ বুদু আলী</v>
      </c>
      <c r="F65" s="25" t="str">
        <f>IFERROR(__xludf.DUMMYFUNCTION("""COMPUTED_VALUE"""),"মোছাঃ সবুরন নেছা")</f>
        <v>মোছাঃ সবুরন নেছা</v>
      </c>
      <c r="G65" s="25" t="str">
        <f>IFERROR(__xludf.DUMMYFUNCTION("""COMPUTED_VALUE"""),"০৫/০৩/১৯৮৩")</f>
        <v>০৫/০৩/১৯৮৩</v>
      </c>
      <c r="H65" s="25" t="str">
        <f>IFERROR(__xludf.DUMMYFUNCTION("""COMPUTED_VALUE"""),"কৃষক")</f>
        <v>কৃষক</v>
      </c>
      <c r="I65" s="25" t="str">
        <f>IFERROR(__xludf.DUMMYFUNCTION("""COMPUTED_VALUE"""),"""জালশুকা")</f>
        <v>"জালশুকা</v>
      </c>
      <c r="J65" s="25" t="str">
        <f>IFERROR(__xludf.DUMMYFUNCTION("""COMPUTED_VALUE""")," গাংনী")</f>
        <v> গাংনী</v>
      </c>
      <c r="K65" s="25" t="str">
        <f>IFERROR(__xludf.DUMMYFUNCTION("""COMPUTED_VALUE""")," মেহেরপুর""")</f>
        <v> মেহেরপুর"</v>
      </c>
    </row>
    <row r="66">
      <c r="A66" s="24" t="s">
        <v>2759</v>
      </c>
      <c r="B66" s="25">
        <f>IFERROR(__xludf.DUMMYFUNCTION("SPLIT(A66,"","")"),172.0)</f>
        <v>172</v>
      </c>
      <c r="C66" s="25" t="str">
        <f>IFERROR(__xludf.DUMMYFUNCTION("""COMPUTED_VALUE"""),"মোঃ মশিউর রহমান")</f>
        <v>মোঃ মশিউর রহমান</v>
      </c>
      <c r="D66" s="25">
        <f>IFERROR(__xludf.DUMMYFUNCTION("""COMPUTED_VALUE"""),5.70156378131E11)</f>
        <v>570156378131</v>
      </c>
      <c r="E66" s="25" t="str">
        <f>IFERROR(__xludf.DUMMYFUNCTION("""COMPUTED_VALUE"""),"মোঃ আহার উদ্দীন মন্ডল")</f>
        <v>মোঃ আহার উদ্দীন মন্ডল</v>
      </c>
      <c r="F66" s="25" t="str">
        <f>IFERROR(__xludf.DUMMYFUNCTION("""COMPUTED_VALUE"""),"মোছাঃ জাহানারা খাতুন")</f>
        <v>মোছাঃ জাহানারা খাতুন</v>
      </c>
      <c r="G66" s="25" t="str">
        <f>IFERROR(__xludf.DUMMYFUNCTION("""COMPUTED_VALUE"""),"০১/০১/১৯৮৩")</f>
        <v>০১/০১/১৯৮৩</v>
      </c>
      <c r="H66" s="25" t="str">
        <f>IFERROR(__xludf.DUMMYFUNCTION("""COMPUTED_VALUE"""),"কৃষক")</f>
        <v>কৃষক</v>
      </c>
      <c r="I66" s="25" t="str">
        <f>IFERROR(__xludf.DUMMYFUNCTION("""COMPUTED_VALUE"""),"""জালশুকা")</f>
        <v>"জালশুকা</v>
      </c>
      <c r="J66" s="25" t="str">
        <f>IFERROR(__xludf.DUMMYFUNCTION("""COMPUTED_VALUE""")," গাংনী")</f>
        <v> গাংনী</v>
      </c>
      <c r="K66" s="25" t="str">
        <f>IFERROR(__xludf.DUMMYFUNCTION("""COMPUTED_VALUE""")," মেহেরপুর""")</f>
        <v> মেহেরপুর"</v>
      </c>
    </row>
    <row r="67">
      <c r="A67" s="24" t="s">
        <v>2760</v>
      </c>
      <c r="B67" s="25">
        <f>IFERROR(__xludf.DUMMYFUNCTION("SPLIT(A67,"","")"),173.0)</f>
        <v>173</v>
      </c>
      <c r="C67" s="25" t="str">
        <f>IFERROR(__xludf.DUMMYFUNCTION("""COMPUTED_VALUE"""),"মোঃ হাসিবুল")</f>
        <v>মোঃ হাসিবুল</v>
      </c>
      <c r="D67" s="25">
        <f>IFERROR(__xludf.DUMMYFUNCTION("""COMPUTED_VALUE"""),5.70156378133E11)</f>
        <v>570156378133</v>
      </c>
      <c r="E67" s="25" t="str">
        <f>IFERROR(__xludf.DUMMYFUNCTION("""COMPUTED_VALUE"""),"মোঃ মোহারদ্দীন্ মন্ডল")</f>
        <v>মোঃ মোহারদ্দীন্ মন্ডল</v>
      </c>
      <c r="F67" s="25" t="str">
        <f>IFERROR(__xludf.DUMMYFUNCTION("""COMPUTED_VALUE"""),"মোছাঃ খবেজা খাতুন")</f>
        <v>মোছাঃ খবেজা খাতুন</v>
      </c>
      <c r="G67" s="25" t="str">
        <f>IFERROR(__xludf.DUMMYFUNCTION("""COMPUTED_VALUE"""),"২৫/১০/১৯৮২")</f>
        <v>২৫/১০/১৯৮২</v>
      </c>
      <c r="H67" s="25" t="str">
        <f>IFERROR(__xludf.DUMMYFUNCTION("""COMPUTED_VALUE"""),"কৃষক")</f>
        <v>কৃষক</v>
      </c>
      <c r="I67" s="25" t="str">
        <f>IFERROR(__xludf.DUMMYFUNCTION("""COMPUTED_VALUE"""),"""জালশুকা")</f>
        <v>"জালশুকা</v>
      </c>
      <c r="J67" s="25" t="str">
        <f>IFERROR(__xludf.DUMMYFUNCTION("""COMPUTED_VALUE""")," গাংনী")</f>
        <v> গাংনী</v>
      </c>
      <c r="K67" s="25" t="str">
        <f>IFERROR(__xludf.DUMMYFUNCTION("""COMPUTED_VALUE""")," মেহেরপুর""")</f>
        <v> মেহেরপুর"</v>
      </c>
    </row>
    <row r="68">
      <c r="A68" s="24" t="s">
        <v>2761</v>
      </c>
      <c r="B68" s="25">
        <f>IFERROR(__xludf.DUMMYFUNCTION("SPLIT(A68,"","")"),174.0)</f>
        <v>174</v>
      </c>
      <c r="C68" s="25" t="str">
        <f>IFERROR(__xludf.DUMMYFUNCTION("""COMPUTED_VALUE"""),"মোঃ রবিউল ইসলাম")</f>
        <v>মোঃ রবিউল ইসলাম</v>
      </c>
      <c r="D68" s="25">
        <f>IFERROR(__xludf.DUMMYFUNCTION("""COMPUTED_VALUE"""),5.70156378136E11)</f>
        <v>570156378136</v>
      </c>
      <c r="E68" s="25" t="str">
        <f>IFERROR(__xludf.DUMMYFUNCTION("""COMPUTED_VALUE"""),"মোঃ মোছার উদ্দীন মন্ডল")</f>
        <v>মোঃ মোছার উদ্দীন মন্ডল</v>
      </c>
      <c r="F68" s="25" t="str">
        <f>IFERROR(__xludf.DUMMYFUNCTION("""COMPUTED_VALUE"""),"মোছাঃ খবেজা খাতুন")</f>
        <v>মোছাঃ খবেজা খাতুন</v>
      </c>
      <c r="G68" s="25" t="str">
        <f>IFERROR(__xludf.DUMMYFUNCTION("""COMPUTED_VALUE"""),"০৯/০৯/১৯৭১")</f>
        <v>০৯/০৯/১৯৭১</v>
      </c>
      <c r="H68" s="25" t="str">
        <f>IFERROR(__xludf.DUMMYFUNCTION("""COMPUTED_VALUE"""),"কৃষক")</f>
        <v>কৃষক</v>
      </c>
      <c r="I68" s="25" t="str">
        <f>IFERROR(__xludf.DUMMYFUNCTION("""COMPUTED_VALUE"""),"""জালশুকা")</f>
        <v>"জালশুকা</v>
      </c>
      <c r="J68" s="25" t="str">
        <f>IFERROR(__xludf.DUMMYFUNCTION("""COMPUTED_VALUE""")," গাংনী")</f>
        <v> গাংনী</v>
      </c>
      <c r="K68" s="25" t="str">
        <f>IFERROR(__xludf.DUMMYFUNCTION("""COMPUTED_VALUE""")," মেহেরপুর""")</f>
        <v> মেহেরপুর"</v>
      </c>
    </row>
    <row r="69">
      <c r="A69" s="24" t="s">
        <v>2762</v>
      </c>
      <c r="B69" s="25">
        <f>IFERROR(__xludf.DUMMYFUNCTION("SPLIT(A69,"","")"),175.0)</f>
        <v>175</v>
      </c>
      <c r="C69" s="25" t="str">
        <f>IFERROR(__xludf.DUMMYFUNCTION("""COMPUTED_VALUE"""),"মোঃ নুর ইসলাম")</f>
        <v>মোঃ নুর ইসলাম</v>
      </c>
      <c r="D69" s="25">
        <f>IFERROR(__xludf.DUMMYFUNCTION("""COMPUTED_VALUE"""),5.7015637814E11)</f>
        <v>570156378140</v>
      </c>
      <c r="E69" s="25" t="str">
        <f>IFERROR(__xludf.DUMMYFUNCTION("""COMPUTED_VALUE"""),"নেপাল মন্ডল")</f>
        <v>নেপাল মন্ডল</v>
      </c>
      <c r="F69" s="25" t="str">
        <f>IFERROR(__xludf.DUMMYFUNCTION("""COMPUTED_VALUE"""),"জবেদা খাতুন")</f>
        <v>জবেদা খাতুন</v>
      </c>
      <c r="G69" s="25" t="str">
        <f>IFERROR(__xludf.DUMMYFUNCTION("""COMPUTED_VALUE"""),"০১/০১/১৯৫৬")</f>
        <v>০১/০১/১৯৫৬</v>
      </c>
      <c r="H69" s="25" t="str">
        <f>IFERROR(__xludf.DUMMYFUNCTION("""COMPUTED_VALUE"""),"কৃষক")</f>
        <v>কৃষক</v>
      </c>
      <c r="I69" s="25" t="str">
        <f>IFERROR(__xludf.DUMMYFUNCTION("""COMPUTED_VALUE"""),"""জালশুকা")</f>
        <v>"জালশুকা</v>
      </c>
      <c r="J69" s="25" t="str">
        <f>IFERROR(__xludf.DUMMYFUNCTION("""COMPUTED_VALUE""")," গাংনী")</f>
        <v> গাংনী</v>
      </c>
      <c r="K69" s="25" t="str">
        <f>IFERROR(__xludf.DUMMYFUNCTION("""COMPUTED_VALUE""")," মেহেরপুর""")</f>
        <v> মেহেরপুর"</v>
      </c>
    </row>
    <row r="70">
      <c r="A70" s="24" t="s">
        <v>2763</v>
      </c>
      <c r="B70" s="25">
        <f>IFERROR(__xludf.DUMMYFUNCTION("SPLIT(A70,"","")"),176.0)</f>
        <v>176</v>
      </c>
      <c r="C70" s="25" t="str">
        <f>IFERROR(__xludf.DUMMYFUNCTION("""COMPUTED_VALUE"""),"মোঃ বিল্লাল হোসেন")</f>
        <v>মোঃ বিল্লাল হোসেন</v>
      </c>
      <c r="D70" s="25">
        <f>IFERROR(__xludf.DUMMYFUNCTION("""COMPUTED_VALUE"""),5.70156378143E11)</f>
        <v>570156378143</v>
      </c>
      <c r="E70" s="25" t="str">
        <f>IFERROR(__xludf.DUMMYFUNCTION("""COMPUTED_VALUE"""),"মোঃ আসান আলী")</f>
        <v>মোঃ আসান আলী</v>
      </c>
      <c r="F70" s="25" t="str">
        <f>IFERROR(__xludf.DUMMYFUNCTION("""COMPUTED_VALUE"""),"মোছাঃ অজিফা খাতুন")</f>
        <v>মোছাঃ অজিফা খাতুন</v>
      </c>
      <c r="G70" s="25" t="str">
        <f>IFERROR(__xludf.DUMMYFUNCTION("""COMPUTED_VALUE"""),"০৫/০৩/১৯৮৪")</f>
        <v>০৫/০৩/১৯৮৪</v>
      </c>
      <c r="H70" s="25" t="str">
        <f>IFERROR(__xludf.DUMMYFUNCTION("""COMPUTED_VALUE"""),"কৃষক")</f>
        <v>কৃষক</v>
      </c>
      <c r="I70" s="25" t="str">
        <f>IFERROR(__xludf.DUMMYFUNCTION("""COMPUTED_VALUE"""),"""জালশুকা")</f>
        <v>"জালশুকা</v>
      </c>
      <c r="J70" s="25" t="str">
        <f>IFERROR(__xludf.DUMMYFUNCTION("""COMPUTED_VALUE""")," গাংনী")</f>
        <v> গাংনী</v>
      </c>
      <c r="K70" s="25" t="str">
        <f>IFERROR(__xludf.DUMMYFUNCTION("""COMPUTED_VALUE""")," মেহেরপুর""")</f>
        <v> মেহেরপুর"</v>
      </c>
    </row>
    <row r="71">
      <c r="A71" s="24" t="s">
        <v>2764</v>
      </c>
      <c r="B71" s="25">
        <f>IFERROR(__xludf.DUMMYFUNCTION("SPLIT(A71,"","")"),177.0)</f>
        <v>177</v>
      </c>
      <c r="C71" s="25" t="str">
        <f>IFERROR(__xludf.DUMMYFUNCTION("""COMPUTED_VALUE"""),"মোঃ শহিদুল ইসলাম")</f>
        <v>মোঃ শহিদুল ইসলাম</v>
      </c>
      <c r="D71" s="25">
        <f>IFERROR(__xludf.DUMMYFUNCTION("""COMPUTED_VALUE"""),5.70156378146E11)</f>
        <v>570156378146</v>
      </c>
      <c r="E71" s="25" t="str">
        <f>IFERROR(__xludf.DUMMYFUNCTION("""COMPUTED_VALUE"""),"মোঃ রমজান আলী")</f>
        <v>মোঃ রমজান আলী</v>
      </c>
      <c r="F71" s="25" t="str">
        <f>IFERROR(__xludf.DUMMYFUNCTION("""COMPUTED_VALUE"""),"মোছাঃ সুফিয়া খাতুন")</f>
        <v>মোছাঃ সুফিয়া খাতুন</v>
      </c>
      <c r="G71" s="25" t="str">
        <f>IFERROR(__xludf.DUMMYFUNCTION("""COMPUTED_VALUE"""),"০২/০৩/১৯৭৩")</f>
        <v>০২/০৩/১৯৭৩</v>
      </c>
      <c r="H71" s="25" t="str">
        <f>IFERROR(__xludf.DUMMYFUNCTION("""COMPUTED_VALUE"""),"কৃষক")</f>
        <v>কৃষক</v>
      </c>
      <c r="I71" s="25" t="str">
        <f>IFERROR(__xludf.DUMMYFUNCTION("""COMPUTED_VALUE"""),"""জালশুকা")</f>
        <v>"জালশুকা</v>
      </c>
      <c r="J71" s="25" t="str">
        <f>IFERROR(__xludf.DUMMYFUNCTION("""COMPUTED_VALUE""")," গাংনী")</f>
        <v> গাংনী</v>
      </c>
      <c r="K71" s="25" t="str">
        <f>IFERROR(__xludf.DUMMYFUNCTION("""COMPUTED_VALUE""")," মেহেরপুর""")</f>
        <v> মেহেরপুর"</v>
      </c>
    </row>
    <row r="72">
      <c r="A72" s="24" t="s">
        <v>2765</v>
      </c>
      <c r="B72" s="25">
        <f>IFERROR(__xludf.DUMMYFUNCTION("SPLIT(A72,"","")"),178.0)</f>
        <v>178</v>
      </c>
      <c r="C72" s="25" t="str">
        <f>IFERROR(__xludf.DUMMYFUNCTION("""COMPUTED_VALUE"""),"মোঃ আসান আলী")</f>
        <v>মোঃ আসান আলী</v>
      </c>
      <c r="D72" s="25">
        <f>IFERROR(__xludf.DUMMYFUNCTION("""COMPUTED_VALUE"""),5.70156378147E11)</f>
        <v>570156378147</v>
      </c>
      <c r="E72" s="25" t="str">
        <f>IFERROR(__xludf.DUMMYFUNCTION("""COMPUTED_VALUE"""),"যাদু আলী মন্ডল")</f>
        <v>যাদু আলী মন্ডল</v>
      </c>
      <c r="F72" s="25" t="str">
        <f>IFERROR(__xludf.DUMMYFUNCTION("""COMPUTED_VALUE"""),"মোছাঃ জেলেশন নেছা")</f>
        <v>মোছাঃ জেলেশন নেছা</v>
      </c>
      <c r="G72" s="25" t="str">
        <f>IFERROR(__xludf.DUMMYFUNCTION("""COMPUTED_VALUE"""),"১৫/০৫/১৯৫৯")</f>
        <v>১৫/০৫/১৯৫৯</v>
      </c>
      <c r="H72" s="25" t="str">
        <f>IFERROR(__xludf.DUMMYFUNCTION("""COMPUTED_VALUE"""),"কৃষক")</f>
        <v>কৃষক</v>
      </c>
      <c r="I72" s="25" t="str">
        <f>IFERROR(__xludf.DUMMYFUNCTION("""COMPUTED_VALUE"""),"""জালশুকা")</f>
        <v>"জালশুকা</v>
      </c>
      <c r="J72" s="25" t="str">
        <f>IFERROR(__xludf.DUMMYFUNCTION("""COMPUTED_VALUE""")," গাংনী")</f>
        <v> গাংনী</v>
      </c>
      <c r="K72" s="25" t="str">
        <f>IFERROR(__xludf.DUMMYFUNCTION("""COMPUTED_VALUE""")," মেহেরপুর""")</f>
        <v> মেহেরপুর"</v>
      </c>
    </row>
    <row r="73">
      <c r="A73" s="24" t="s">
        <v>2766</v>
      </c>
      <c r="B73" s="25">
        <f>IFERROR(__xludf.DUMMYFUNCTION("SPLIT(A73,"","")"),179.0)</f>
        <v>179</v>
      </c>
      <c r="C73" s="25" t="str">
        <f>IFERROR(__xludf.DUMMYFUNCTION("""COMPUTED_VALUE"""),"মোঃ হেলাল উদ্দীন")</f>
        <v>মোঃ হেলাল উদ্দীন</v>
      </c>
      <c r="D73" s="25">
        <f>IFERROR(__xludf.DUMMYFUNCTION("""COMPUTED_VALUE"""),5.7015637815E11)</f>
        <v>570156378150</v>
      </c>
      <c r="E73" s="25" t="str">
        <f>IFERROR(__xludf.DUMMYFUNCTION("""COMPUTED_VALUE"""),"মোঃ মানিক মন্ডল")</f>
        <v>মোঃ মানিক মন্ডল</v>
      </c>
      <c r="F73" s="25" t="str">
        <f>IFERROR(__xludf.DUMMYFUNCTION("""COMPUTED_VALUE"""),"মোছাঃ কমেলা খাতুন")</f>
        <v>মোছাঃ কমেলা খাতুন</v>
      </c>
      <c r="G73" s="25" t="str">
        <f>IFERROR(__xludf.DUMMYFUNCTION("""COMPUTED_VALUE"""),"১০/১০/১৯৬৭")</f>
        <v>১০/১০/১৯৬৭</v>
      </c>
      <c r="H73" s="25" t="str">
        <f>IFERROR(__xludf.DUMMYFUNCTION("""COMPUTED_VALUE"""),"কৃষক")</f>
        <v>কৃষক</v>
      </c>
      <c r="I73" s="25" t="str">
        <f>IFERROR(__xludf.DUMMYFUNCTION("""COMPUTED_VALUE"""),"""জালশুকা")</f>
        <v>"জালশুকা</v>
      </c>
      <c r="J73" s="25" t="str">
        <f>IFERROR(__xludf.DUMMYFUNCTION("""COMPUTED_VALUE""")," গাংনী")</f>
        <v> গাংনী</v>
      </c>
      <c r="K73" s="25" t="str">
        <f>IFERROR(__xludf.DUMMYFUNCTION("""COMPUTED_VALUE""")," মেহেরপুর""")</f>
        <v> মেহেরপুর"</v>
      </c>
    </row>
    <row r="74">
      <c r="A74" s="24" t="s">
        <v>2767</v>
      </c>
      <c r="B74" s="25">
        <f>IFERROR(__xludf.DUMMYFUNCTION("SPLIT(A74,"","")"),180.0)</f>
        <v>180</v>
      </c>
      <c r="C74" s="25" t="str">
        <f>IFERROR(__xludf.DUMMYFUNCTION("""COMPUTED_VALUE"""),"মোঃ বরকত আলী")</f>
        <v>মোঃ বরকত আলী</v>
      </c>
      <c r="D74" s="25">
        <f>IFERROR(__xludf.DUMMYFUNCTION("""COMPUTED_VALUE"""),5.70156378152E11)</f>
        <v>570156378152</v>
      </c>
      <c r="E74" s="25" t="str">
        <f>IFERROR(__xludf.DUMMYFUNCTION("""COMPUTED_VALUE"""),"ইলা বক্স")</f>
        <v>ইলা বক্স</v>
      </c>
      <c r="F74" s="25" t="str">
        <f>IFERROR(__xludf.DUMMYFUNCTION("""COMPUTED_VALUE"""),"মোছাঃ এলেপন")</f>
        <v>মোছাঃ এলেপন</v>
      </c>
      <c r="G74" s="25" t="str">
        <f>IFERROR(__xludf.DUMMYFUNCTION("""COMPUTED_VALUE"""),"০১/০১/১৯৭৯")</f>
        <v>০১/০১/১৯৭৯</v>
      </c>
      <c r="H74" s="25" t="str">
        <f>IFERROR(__xludf.DUMMYFUNCTION("""COMPUTED_VALUE"""),"কৃষক")</f>
        <v>কৃষক</v>
      </c>
      <c r="I74" s="25" t="str">
        <f>IFERROR(__xludf.DUMMYFUNCTION("""COMPUTED_VALUE"""),"""জালশুকা")</f>
        <v>"জালশুকা</v>
      </c>
      <c r="J74" s="25" t="str">
        <f>IFERROR(__xludf.DUMMYFUNCTION("""COMPUTED_VALUE""")," গাংনী")</f>
        <v> গাংনী</v>
      </c>
      <c r="K74" s="25" t="str">
        <f>IFERROR(__xludf.DUMMYFUNCTION("""COMPUTED_VALUE""")," মেহেরপুর""")</f>
        <v> মেহেরপুর"</v>
      </c>
    </row>
    <row r="75">
      <c r="A75" s="24" t="s">
        <v>2768</v>
      </c>
      <c r="B75" s="25">
        <f>IFERROR(__xludf.DUMMYFUNCTION("SPLIT(A75,"","")"),181.0)</f>
        <v>181</v>
      </c>
      <c r="C75" s="25" t="str">
        <f>IFERROR(__xludf.DUMMYFUNCTION("""COMPUTED_VALUE"""),"মোঃ আতিয়ার রহমান")</f>
        <v>মোঃ আতিয়ার রহমান</v>
      </c>
      <c r="D75" s="25">
        <f>IFERROR(__xludf.DUMMYFUNCTION("""COMPUTED_VALUE"""),5.70156378153E11)</f>
        <v>570156378153</v>
      </c>
      <c r="E75" s="25" t="str">
        <f>IFERROR(__xludf.DUMMYFUNCTION("""COMPUTED_VALUE"""),"মোঃ কুরবান আলী")</f>
        <v>মোঃ কুরবান আলী</v>
      </c>
      <c r="F75" s="25" t="str">
        <f>IFERROR(__xludf.DUMMYFUNCTION("""COMPUTED_VALUE"""),"হামিদা খাতুন")</f>
        <v>হামিদা খাতুন</v>
      </c>
      <c r="G75" s="25" t="str">
        <f>IFERROR(__xludf.DUMMYFUNCTION("""COMPUTED_VALUE"""),"০১/০১/১৯৭৯")</f>
        <v>০১/০১/১৯৭৯</v>
      </c>
      <c r="H75" s="25" t="str">
        <f>IFERROR(__xludf.DUMMYFUNCTION("""COMPUTED_VALUE"""),"ব্যবসা")</f>
        <v>ব্যবসা</v>
      </c>
      <c r="I75" s="25" t="str">
        <f>IFERROR(__xludf.DUMMYFUNCTION("""COMPUTED_VALUE"""),"""জালশুকা")</f>
        <v>"জালশুকা</v>
      </c>
      <c r="J75" s="25" t="str">
        <f>IFERROR(__xludf.DUMMYFUNCTION("""COMPUTED_VALUE""")," গাংনী")</f>
        <v> গাংনী</v>
      </c>
      <c r="K75" s="25" t="str">
        <f>IFERROR(__xludf.DUMMYFUNCTION("""COMPUTED_VALUE""")," মেহেরপুর""")</f>
        <v> মেহেরপুর"</v>
      </c>
    </row>
    <row r="76">
      <c r="A76" s="24" t="s">
        <v>2769</v>
      </c>
      <c r="B76" s="25">
        <f>IFERROR(__xludf.DUMMYFUNCTION("SPLIT(A76,"","")"),182.0)</f>
        <v>182</v>
      </c>
      <c r="C76" s="25" t="str">
        <f>IFERROR(__xludf.DUMMYFUNCTION("""COMPUTED_VALUE"""),"মোঃ মিরাজুল ইসলাম")</f>
        <v>মোঃ মিরাজুল ইসলাম</v>
      </c>
      <c r="D76" s="25">
        <f>IFERROR(__xludf.DUMMYFUNCTION("""COMPUTED_VALUE"""),5.70156378157E11)</f>
        <v>570156378157</v>
      </c>
      <c r="E76" s="25" t="str">
        <f>IFERROR(__xludf.DUMMYFUNCTION("""COMPUTED_VALUE"""),"মোঃ কাদের শেখ")</f>
        <v>মোঃ কাদের শেখ</v>
      </c>
      <c r="F76" s="25" t="str">
        <f>IFERROR(__xludf.DUMMYFUNCTION("""COMPUTED_VALUE"""),"মোছাঃ জমেলা খাতুন")</f>
        <v>মোছাঃ জমেলা খাতুন</v>
      </c>
      <c r="G76" s="25" t="str">
        <f>IFERROR(__xludf.DUMMYFUNCTION("""COMPUTED_VALUE"""),"০৫/০৫/১৯৭৯")</f>
        <v>০৫/০৫/১৯৭৯</v>
      </c>
      <c r="H76" s="25" t="str">
        <f>IFERROR(__xludf.DUMMYFUNCTION("""COMPUTED_VALUE"""),"কৃষক")</f>
        <v>কৃষক</v>
      </c>
      <c r="I76" s="25" t="str">
        <f>IFERROR(__xludf.DUMMYFUNCTION("""COMPUTED_VALUE"""),"""জালশুকা")</f>
        <v>"জালশুকা</v>
      </c>
      <c r="J76" s="25" t="str">
        <f>IFERROR(__xludf.DUMMYFUNCTION("""COMPUTED_VALUE""")," গাংনী")</f>
        <v> গাংনী</v>
      </c>
      <c r="K76" s="25" t="str">
        <f>IFERROR(__xludf.DUMMYFUNCTION("""COMPUTED_VALUE""")," মেহেরপুর""")</f>
        <v> মেহেরপুর"</v>
      </c>
    </row>
    <row r="77">
      <c r="A77" s="24" t="s">
        <v>2770</v>
      </c>
      <c r="B77" s="25">
        <f>IFERROR(__xludf.DUMMYFUNCTION("SPLIT(A77,"","")"),183.0)</f>
        <v>183</v>
      </c>
      <c r="C77" s="25" t="str">
        <f>IFERROR(__xludf.DUMMYFUNCTION("""COMPUTED_VALUE"""),"মোঃ খলিলুর রহমান")</f>
        <v>মোঃ খলিলুর রহমান</v>
      </c>
      <c r="D77" s="25">
        <f>IFERROR(__xludf.DUMMYFUNCTION("""COMPUTED_VALUE"""),5.70156378159E11)</f>
        <v>570156378159</v>
      </c>
      <c r="E77" s="25" t="str">
        <f>IFERROR(__xludf.DUMMYFUNCTION("""COMPUTED_VALUE"""),"জাদুআলী মন্ডল")</f>
        <v>জাদুআলী মন্ডল</v>
      </c>
      <c r="F77" s="25" t="str">
        <f>IFERROR(__xludf.DUMMYFUNCTION("""COMPUTED_VALUE"""),"মোছাঃ জেলেখা খাতুন")</f>
        <v>মোছাঃ জেলেখা খাতুন</v>
      </c>
      <c r="G77" s="25" t="str">
        <f>IFERROR(__xludf.DUMMYFUNCTION("""COMPUTED_VALUE"""),"১২/১১/১৯৬২")</f>
        <v>১২/১১/১৯৬২</v>
      </c>
      <c r="H77" s="25" t="str">
        <f>IFERROR(__xludf.DUMMYFUNCTION("""COMPUTED_VALUE"""),"কৃষক")</f>
        <v>কৃষক</v>
      </c>
      <c r="I77" s="25" t="str">
        <f>IFERROR(__xludf.DUMMYFUNCTION("""COMPUTED_VALUE"""),"""জালশুকা")</f>
        <v>"জালশুকা</v>
      </c>
      <c r="J77" s="25" t="str">
        <f>IFERROR(__xludf.DUMMYFUNCTION("""COMPUTED_VALUE""")," গাংনী")</f>
        <v> গাংনী</v>
      </c>
      <c r="K77" s="25" t="str">
        <f>IFERROR(__xludf.DUMMYFUNCTION("""COMPUTED_VALUE""")," মেহেরপুর""")</f>
        <v> মেহেরপুর"</v>
      </c>
    </row>
    <row r="78">
      <c r="A78" s="24" t="s">
        <v>2771</v>
      </c>
      <c r="B78" s="25">
        <f>IFERROR(__xludf.DUMMYFUNCTION("SPLIT(A78,"","")"),184.0)</f>
        <v>184</v>
      </c>
      <c r="C78" s="25" t="str">
        <f>IFERROR(__xludf.DUMMYFUNCTION("""COMPUTED_VALUE"""),"মোঃ ফজল উদ্দীন")</f>
        <v>মোঃ ফজল উদ্দীন</v>
      </c>
      <c r="D78" s="25">
        <f>IFERROR(__xludf.DUMMYFUNCTION("""COMPUTED_VALUE"""),5.7015637816E11)</f>
        <v>570156378160</v>
      </c>
      <c r="E78" s="25" t="str">
        <f>IFERROR(__xludf.DUMMYFUNCTION("""COMPUTED_VALUE"""),"রব্বানী মন্ডল")</f>
        <v>রব্বানী মন্ডল</v>
      </c>
      <c r="F78" s="25" t="str">
        <f>IFERROR(__xludf.DUMMYFUNCTION("""COMPUTED_VALUE"""),"মোছাঃ আক্কিন নেছা")</f>
        <v>মোছাঃ আক্কিন নেছা</v>
      </c>
      <c r="G78" s="25" t="str">
        <f>IFERROR(__xludf.DUMMYFUNCTION("""COMPUTED_VALUE"""),"০১/০১/১৯৪৮")</f>
        <v>০১/০১/১৯৪৮</v>
      </c>
      <c r="H78" s="25" t="str">
        <f>IFERROR(__xludf.DUMMYFUNCTION("""COMPUTED_VALUE"""),"কৃষক")</f>
        <v>কৃষক</v>
      </c>
      <c r="I78" s="25" t="str">
        <f>IFERROR(__xludf.DUMMYFUNCTION("""COMPUTED_VALUE"""),"""জালশুকা")</f>
        <v>"জালশুকা</v>
      </c>
      <c r="J78" s="25" t="str">
        <f>IFERROR(__xludf.DUMMYFUNCTION("""COMPUTED_VALUE""")," গাংনী")</f>
        <v> গাংনী</v>
      </c>
      <c r="K78" s="25" t="str">
        <f>IFERROR(__xludf.DUMMYFUNCTION("""COMPUTED_VALUE""")," মেহেরপুর""")</f>
        <v> মেহেরপুর"</v>
      </c>
    </row>
    <row r="79">
      <c r="A79" s="24" t="s">
        <v>2772</v>
      </c>
      <c r="B79" s="25">
        <f>IFERROR(__xludf.DUMMYFUNCTION("SPLIT(A79,"","")"),185.0)</f>
        <v>185</v>
      </c>
      <c r="C79" s="25" t="str">
        <f>IFERROR(__xludf.DUMMYFUNCTION("""COMPUTED_VALUE"""),"মোঃ রিপন আলী")</f>
        <v>মোঃ রিপন আলী</v>
      </c>
      <c r="D79" s="25">
        <f>IFERROR(__xludf.DUMMYFUNCTION("""COMPUTED_VALUE"""),5.70156378161E11)</f>
        <v>570156378161</v>
      </c>
      <c r="E79" s="25" t="str">
        <f>IFERROR(__xludf.DUMMYFUNCTION("""COMPUTED_VALUE"""),"মোঃ মন্টু আলী")</f>
        <v>মোঃ মন্টু আলী</v>
      </c>
      <c r="F79" s="25" t="str">
        <f>IFERROR(__xludf.DUMMYFUNCTION("""COMPUTED_VALUE"""),"মোছাঃ আসমা খাতুন")</f>
        <v>মোছাঃ আসমা খাতুন</v>
      </c>
      <c r="G79" s="25" t="str">
        <f>IFERROR(__xludf.DUMMYFUNCTION("""COMPUTED_VALUE"""),"০৬/০৬/১৯৭৯")</f>
        <v>০৬/০৬/১৯৭৯</v>
      </c>
      <c r="H79" s="25" t="str">
        <f>IFERROR(__xludf.DUMMYFUNCTION("""COMPUTED_VALUE"""),"কৃষক")</f>
        <v>কৃষক</v>
      </c>
      <c r="I79" s="25" t="str">
        <f>IFERROR(__xludf.DUMMYFUNCTION("""COMPUTED_VALUE"""),"""জালশুকা")</f>
        <v>"জালশুকা</v>
      </c>
      <c r="J79" s="25" t="str">
        <f>IFERROR(__xludf.DUMMYFUNCTION("""COMPUTED_VALUE""")," গাংনী")</f>
        <v> গাংনী</v>
      </c>
      <c r="K79" s="25" t="str">
        <f>IFERROR(__xludf.DUMMYFUNCTION("""COMPUTED_VALUE""")," মেহেরপুর""")</f>
        <v> মেহেরপুর"</v>
      </c>
    </row>
    <row r="80">
      <c r="A80" s="24" t="s">
        <v>2773</v>
      </c>
      <c r="B80" s="25">
        <f>IFERROR(__xludf.DUMMYFUNCTION("SPLIT(A80,"","")"),186.0)</f>
        <v>186</v>
      </c>
      <c r="C80" s="25" t="str">
        <f>IFERROR(__xludf.DUMMYFUNCTION("""COMPUTED_VALUE"""),"মোঃ আসান আলী")</f>
        <v>মোঃ আসান আলী</v>
      </c>
      <c r="D80" s="25">
        <f>IFERROR(__xludf.DUMMYFUNCTION("""COMPUTED_VALUE"""),5.70156378163E11)</f>
        <v>570156378163</v>
      </c>
      <c r="E80" s="25" t="str">
        <f>IFERROR(__xludf.DUMMYFUNCTION("""COMPUTED_VALUE"""),"জবেদ আলী")</f>
        <v>জবেদ আলী</v>
      </c>
      <c r="F80" s="25" t="str">
        <f>IFERROR(__xludf.DUMMYFUNCTION("""COMPUTED_VALUE"""),"শরিপান নেছা")</f>
        <v>শরিপান নেছা</v>
      </c>
      <c r="G80" s="25" t="str">
        <f>IFERROR(__xludf.DUMMYFUNCTION("""COMPUTED_VALUE"""),"১০/১০/১৯৫৭")</f>
        <v>১০/১০/১৯৫৭</v>
      </c>
      <c r="H80" s="25" t="str">
        <f>IFERROR(__xludf.DUMMYFUNCTION("""COMPUTED_VALUE"""),"কৃষক")</f>
        <v>কৃষক</v>
      </c>
      <c r="I80" s="25" t="str">
        <f>IFERROR(__xludf.DUMMYFUNCTION("""COMPUTED_VALUE"""),"""জালশুকা")</f>
        <v>"জালশুকা</v>
      </c>
      <c r="J80" s="25" t="str">
        <f>IFERROR(__xludf.DUMMYFUNCTION("""COMPUTED_VALUE""")," গাংনী")</f>
        <v> গাংনী</v>
      </c>
      <c r="K80" s="25" t="str">
        <f>IFERROR(__xludf.DUMMYFUNCTION("""COMPUTED_VALUE""")," মেহেরপুর""")</f>
        <v> মেহেরপুর"</v>
      </c>
    </row>
    <row r="81">
      <c r="A81" s="24" t="s">
        <v>2774</v>
      </c>
      <c r="B81" s="25">
        <f>IFERROR(__xludf.DUMMYFUNCTION("SPLIT(A81,"","")"),187.0)</f>
        <v>187</v>
      </c>
      <c r="C81" s="25" t="str">
        <f>IFERROR(__xludf.DUMMYFUNCTION("""COMPUTED_VALUE"""),"মোঃ বিপুল")</f>
        <v>মোঃ বিপুল</v>
      </c>
      <c r="D81" s="25">
        <f>IFERROR(__xludf.DUMMYFUNCTION("""COMPUTED_VALUE"""),5.70156378164E11)</f>
        <v>570156378164</v>
      </c>
      <c r="E81" s="25" t="str">
        <f>IFERROR(__xludf.DUMMYFUNCTION("""COMPUTED_VALUE"""),"মোঃ আসান উদ্দীন")</f>
        <v>মোঃ আসান উদ্দীন</v>
      </c>
      <c r="F81" s="25" t="str">
        <f>IFERROR(__xludf.DUMMYFUNCTION("""COMPUTED_VALUE"""),"মোছাঃ মর্জিনা খাতুন")</f>
        <v>মোছাঃ মর্জিনা খাতুন</v>
      </c>
      <c r="G81" s="25" t="str">
        <f>IFERROR(__xludf.DUMMYFUNCTION("""COMPUTED_VALUE"""),"০১/০১/১৯৮৬")</f>
        <v>০১/০১/১৯৮৬</v>
      </c>
      <c r="H81" s="25" t="str">
        <f>IFERROR(__xludf.DUMMYFUNCTION("""COMPUTED_VALUE"""),"শ্রমিক")</f>
        <v>শ্রমিক</v>
      </c>
      <c r="I81" s="25" t="str">
        <f>IFERROR(__xludf.DUMMYFUNCTION("""COMPUTED_VALUE"""),"""জালশুকা")</f>
        <v>"জালশুকা</v>
      </c>
      <c r="J81" s="25" t="str">
        <f>IFERROR(__xludf.DUMMYFUNCTION("""COMPUTED_VALUE""")," গাংনী")</f>
        <v> গাংনী</v>
      </c>
      <c r="K81" s="25" t="str">
        <f>IFERROR(__xludf.DUMMYFUNCTION("""COMPUTED_VALUE""")," মেহেরপুর""")</f>
        <v> মেহেরপুর"</v>
      </c>
    </row>
    <row r="82">
      <c r="A82" s="24" t="s">
        <v>2775</v>
      </c>
      <c r="B82" s="25">
        <f>IFERROR(__xludf.DUMMYFUNCTION("SPLIT(A82,"","")"),188.0)</f>
        <v>188</v>
      </c>
      <c r="C82" s="25" t="str">
        <f>IFERROR(__xludf.DUMMYFUNCTION("""COMPUTED_VALUE"""),"মোঃ সোহেল রানা")</f>
        <v>মোঃ সোহেল রানা</v>
      </c>
      <c r="D82" s="25">
        <f>IFERROR(__xludf.DUMMYFUNCTION("""COMPUTED_VALUE"""),5.70156378172E11)</f>
        <v>570156378172</v>
      </c>
      <c r="E82" s="25" t="str">
        <f>IFERROR(__xludf.DUMMYFUNCTION("""COMPUTED_VALUE"""),"মোঃ মন্টু আলী")</f>
        <v>মোঃ মন্টু আলী</v>
      </c>
      <c r="F82" s="25" t="str">
        <f>IFERROR(__xludf.DUMMYFUNCTION("""COMPUTED_VALUE"""),"মোছাঃ আসমা খাতুন")</f>
        <v>মোছাঃ আসমা খাতুন</v>
      </c>
      <c r="G82" s="25" t="str">
        <f>IFERROR(__xludf.DUMMYFUNCTION("""COMPUTED_VALUE"""),"০১/০১/১৯৮৩")</f>
        <v>০১/০১/১৯৮৩</v>
      </c>
      <c r="H82" s="25" t="str">
        <f>IFERROR(__xludf.DUMMYFUNCTION("""COMPUTED_VALUE"""),"কৃষক")</f>
        <v>কৃষক</v>
      </c>
      <c r="I82" s="25" t="str">
        <f>IFERROR(__xludf.DUMMYFUNCTION("""COMPUTED_VALUE"""),"""জালশুকা")</f>
        <v>"জালশুকা</v>
      </c>
      <c r="J82" s="25" t="str">
        <f>IFERROR(__xludf.DUMMYFUNCTION("""COMPUTED_VALUE""")," গাংনী")</f>
        <v> গাংনী</v>
      </c>
      <c r="K82" s="25" t="str">
        <f>IFERROR(__xludf.DUMMYFUNCTION("""COMPUTED_VALUE""")," মেহেরপুর""")</f>
        <v> মেহেরপুর"</v>
      </c>
    </row>
    <row r="83">
      <c r="A83" s="24" t="s">
        <v>2776</v>
      </c>
      <c r="B83" s="25">
        <f>IFERROR(__xludf.DUMMYFUNCTION("SPLIT(A83,"","")"),189.0)</f>
        <v>189</v>
      </c>
      <c r="C83" s="25" t="str">
        <f>IFERROR(__xludf.DUMMYFUNCTION("""COMPUTED_VALUE"""),"মোঃ আবুল কাশেম")</f>
        <v>মোঃ আবুল কাশেম</v>
      </c>
      <c r="D83" s="25">
        <f>IFERROR(__xludf.DUMMYFUNCTION("""COMPUTED_VALUE"""),5.70156378173E11)</f>
        <v>570156378173</v>
      </c>
      <c r="E83" s="25" t="str">
        <f>IFERROR(__xludf.DUMMYFUNCTION("""COMPUTED_VALUE"""),"মোঃ মজিবর রহমান")</f>
        <v>মোঃ মজিবর রহমান</v>
      </c>
      <c r="F83" s="25" t="str">
        <f>IFERROR(__xludf.DUMMYFUNCTION("""COMPUTED_VALUE"""),"মোছাঃ মইমনা খাতুন")</f>
        <v>মোছাঃ মইমনা খাতুন</v>
      </c>
      <c r="G83" s="25" t="str">
        <f>IFERROR(__xludf.DUMMYFUNCTION("""COMPUTED_VALUE"""),"১০/১০/১৯৬৭")</f>
        <v>১০/১০/১৯৬৭</v>
      </c>
      <c r="H83" s="25" t="str">
        <f>IFERROR(__xludf.DUMMYFUNCTION("""COMPUTED_VALUE"""),"ব্যবসা")</f>
        <v>ব্যবসা</v>
      </c>
      <c r="I83" s="25" t="str">
        <f>IFERROR(__xludf.DUMMYFUNCTION("""COMPUTED_VALUE"""),"""জালশুকা")</f>
        <v>"জালশুকা</v>
      </c>
      <c r="J83" s="25" t="str">
        <f>IFERROR(__xludf.DUMMYFUNCTION("""COMPUTED_VALUE""")," গাংনী")</f>
        <v> গাংনী</v>
      </c>
      <c r="K83" s="25" t="str">
        <f>IFERROR(__xludf.DUMMYFUNCTION("""COMPUTED_VALUE""")," মেহেরপুর""")</f>
        <v> মেহেরপুর"</v>
      </c>
    </row>
    <row r="84">
      <c r="A84" s="24" t="s">
        <v>2777</v>
      </c>
      <c r="B84" s="25">
        <f>IFERROR(__xludf.DUMMYFUNCTION("SPLIT(A84,"","")"),190.0)</f>
        <v>190</v>
      </c>
      <c r="C84" s="25" t="str">
        <f>IFERROR(__xludf.DUMMYFUNCTION("""COMPUTED_VALUE"""),"মোঃ কামাল উদ্দীন")</f>
        <v>মোঃ কামাল উদ্দীন</v>
      </c>
      <c r="D84" s="25">
        <f>IFERROR(__xludf.DUMMYFUNCTION("""COMPUTED_VALUE"""),5.70156378179E11)</f>
        <v>570156378179</v>
      </c>
      <c r="E84" s="25" t="str">
        <f>IFERROR(__xludf.DUMMYFUNCTION("""COMPUTED_VALUE"""),"মোঃ দবীর উদ্দীন মালিথা")</f>
        <v>মোঃ দবীর উদ্দীন মালিথা</v>
      </c>
      <c r="F84" s="25" t="str">
        <f>IFERROR(__xludf.DUMMYFUNCTION("""COMPUTED_VALUE"""),"মোছাঃ জরিমন্ নেছা")</f>
        <v>মোছাঃ জরিমন্ নেছা</v>
      </c>
      <c r="G84" s="25" t="str">
        <f>IFERROR(__xludf.DUMMYFUNCTION("""COMPUTED_VALUE"""),"১০/০২/১৯৮৭")</f>
        <v>১০/০২/১৯৮৭</v>
      </c>
      <c r="H84" s="25" t="str">
        <f>IFERROR(__xludf.DUMMYFUNCTION("""COMPUTED_VALUE"""),"কৃষক")</f>
        <v>কৃষক</v>
      </c>
      <c r="I84" s="25" t="str">
        <f>IFERROR(__xludf.DUMMYFUNCTION("""COMPUTED_VALUE"""),"""জালশুকা")</f>
        <v>"জালশুকা</v>
      </c>
      <c r="J84" s="25" t="str">
        <f>IFERROR(__xludf.DUMMYFUNCTION("""COMPUTED_VALUE""")," কসবা")</f>
        <v> কসবা</v>
      </c>
      <c r="K84" s="25" t="str">
        <f>IFERROR(__xludf.DUMMYFUNCTION("""COMPUTED_VALUE""")," গাংনী")</f>
        <v> গাংনী</v>
      </c>
      <c r="L84" s="25" t="str">
        <f>IFERROR(__xludf.DUMMYFUNCTION("""COMPUTED_VALUE""")," মেহেরপুর""")</f>
        <v> মেহেরপুর"</v>
      </c>
    </row>
    <row r="85">
      <c r="A85" s="24" t="s">
        <v>2778</v>
      </c>
      <c r="B85" s="25">
        <f>IFERROR(__xludf.DUMMYFUNCTION("SPLIT(A85,"","")"),191.0)</f>
        <v>191</v>
      </c>
      <c r="C85" s="25" t="str">
        <f>IFERROR(__xludf.DUMMYFUNCTION("""COMPUTED_VALUE"""),"মোঃ এরশাদ আলী")</f>
        <v>মোঃ এরশাদ আলী</v>
      </c>
      <c r="D85" s="25">
        <f>IFERROR(__xludf.DUMMYFUNCTION("""COMPUTED_VALUE"""),5.7015637818E11)</f>
        <v>570156378180</v>
      </c>
      <c r="E85" s="25" t="str">
        <f>IFERROR(__xludf.DUMMYFUNCTION("""COMPUTED_VALUE"""),"মোঃ দবির উদ্দীন মালিথা")</f>
        <v>মোঃ দবির উদ্দীন মালিথা</v>
      </c>
      <c r="F85" s="25" t="str">
        <f>IFERROR(__xludf.DUMMYFUNCTION("""COMPUTED_VALUE"""),"মোছাঃ জমিনর নেছা")</f>
        <v>মোছাঃ জমিনর নেছা</v>
      </c>
      <c r="G85" s="25" t="str">
        <f>IFERROR(__xludf.DUMMYFUNCTION("""COMPUTED_VALUE"""),"০১/০১/১৯৯০")</f>
        <v>০১/০১/১৯৯০</v>
      </c>
      <c r="H85" s="25" t="str">
        <f>IFERROR(__xludf.DUMMYFUNCTION("""COMPUTED_VALUE"""),"কৃষক")</f>
        <v>কৃষক</v>
      </c>
      <c r="I85" s="25" t="str">
        <f>IFERROR(__xludf.DUMMYFUNCTION("""COMPUTED_VALUE"""),"""জালশুকা")</f>
        <v>"জালশুকা</v>
      </c>
      <c r="J85" s="25" t="str">
        <f>IFERROR(__xludf.DUMMYFUNCTION("""COMPUTED_VALUE""")," গাংনী")</f>
        <v> গাংনী</v>
      </c>
      <c r="K85" s="25" t="str">
        <f>IFERROR(__xludf.DUMMYFUNCTION("""COMPUTED_VALUE""")," মেহেরপুর""")</f>
        <v> মেহেরপুর"</v>
      </c>
    </row>
    <row r="86">
      <c r="A86" s="24" t="s">
        <v>2779</v>
      </c>
      <c r="B86" s="25">
        <f>IFERROR(__xludf.DUMMYFUNCTION("SPLIT(A86,"","")"),192.0)</f>
        <v>192</v>
      </c>
      <c r="C86" s="25" t="str">
        <f>IFERROR(__xludf.DUMMYFUNCTION("""COMPUTED_VALUE"""),"মোঃ মিনারুল ইসলাম")</f>
        <v>মোঃ মিনারুল ইসলাম</v>
      </c>
      <c r="D86" s="25">
        <f>IFERROR(__xludf.DUMMYFUNCTION("""COMPUTED_VALUE"""),5.70156378185E11)</f>
        <v>570156378185</v>
      </c>
      <c r="E86" s="25" t="str">
        <f>IFERROR(__xludf.DUMMYFUNCTION("""COMPUTED_VALUE"""),"মোঃ কুরমান আলি")</f>
        <v>মোঃ কুরমান আলি</v>
      </c>
      <c r="F86" s="25" t="str">
        <f>IFERROR(__xludf.DUMMYFUNCTION("""COMPUTED_VALUE"""),"মোছাঃ হামেদা খাতুন")</f>
        <v>মোছাঃ হামেদা খাতুন</v>
      </c>
      <c r="G86" s="25" t="str">
        <f>IFERROR(__xludf.DUMMYFUNCTION("""COMPUTED_VALUE"""),"২৮/০৬/১৯৭৩")</f>
        <v>২৮/০৬/১৯৭৩</v>
      </c>
      <c r="H86" s="25" t="str">
        <f>IFERROR(__xludf.DUMMYFUNCTION("""COMPUTED_VALUE"""),"কৃষক")</f>
        <v>কৃষক</v>
      </c>
      <c r="I86" s="25" t="str">
        <f>IFERROR(__xludf.DUMMYFUNCTION("""COMPUTED_VALUE"""),"""জালশুকা")</f>
        <v>"জালশুকা</v>
      </c>
      <c r="J86" s="25" t="str">
        <f>IFERROR(__xludf.DUMMYFUNCTION("""COMPUTED_VALUE""")," গাংনী")</f>
        <v> গাংনী</v>
      </c>
      <c r="K86" s="25" t="str">
        <f>IFERROR(__xludf.DUMMYFUNCTION("""COMPUTED_VALUE""")," মেহেরপুর""")</f>
        <v> মেহেরপুর"</v>
      </c>
    </row>
    <row r="87">
      <c r="A87" s="24" t="s">
        <v>2780</v>
      </c>
      <c r="B87" s="25">
        <f>IFERROR(__xludf.DUMMYFUNCTION("SPLIT(A87,"","")"),193.0)</f>
        <v>193</v>
      </c>
      <c r="C87" s="25" t="str">
        <f>IFERROR(__xludf.DUMMYFUNCTION("""COMPUTED_VALUE"""),"মোঃ এনামুল হক")</f>
        <v>মোঃ এনামুল হক</v>
      </c>
      <c r="D87" s="25">
        <f>IFERROR(__xludf.DUMMYFUNCTION("""COMPUTED_VALUE"""),5.70156378187E11)</f>
        <v>570156378187</v>
      </c>
      <c r="E87" s="25" t="str">
        <f>IFERROR(__xludf.DUMMYFUNCTION("""COMPUTED_VALUE"""),"মোঃ ফজল উদ্দীন")</f>
        <v>মোঃ ফজল উদ্দীন</v>
      </c>
      <c r="F87" s="25" t="str">
        <f>IFERROR(__xludf.DUMMYFUNCTION("""COMPUTED_VALUE"""),"আনুয়ারা খাতুন")</f>
        <v>আনুয়ারা খাতুন</v>
      </c>
      <c r="G87" s="25" t="str">
        <f>IFERROR(__xludf.DUMMYFUNCTION("""COMPUTED_VALUE"""),"০৮/০৫/১৯৭৯")</f>
        <v>০৮/০৫/১৯৭৯</v>
      </c>
      <c r="H87" s="25" t="str">
        <f>IFERROR(__xludf.DUMMYFUNCTION("""COMPUTED_VALUE"""),"কৃষক")</f>
        <v>কৃষক</v>
      </c>
      <c r="I87" s="25" t="str">
        <f>IFERROR(__xludf.DUMMYFUNCTION("""COMPUTED_VALUE"""),"""জালশুকা")</f>
        <v>"জালশুকা</v>
      </c>
      <c r="J87" s="25" t="str">
        <f>IFERROR(__xludf.DUMMYFUNCTION("""COMPUTED_VALUE""")," কসবা")</f>
        <v> কসবা</v>
      </c>
      <c r="K87" s="25" t="str">
        <f>IFERROR(__xludf.DUMMYFUNCTION("""COMPUTED_VALUE""")," গাংনী")</f>
        <v> গাংনী</v>
      </c>
      <c r="L87" s="25" t="str">
        <f>IFERROR(__xludf.DUMMYFUNCTION("""COMPUTED_VALUE""")," মেহেরপুর""")</f>
        <v> মেহেরপুর"</v>
      </c>
    </row>
    <row r="88">
      <c r="A88" s="24" t="s">
        <v>2781</v>
      </c>
      <c r="B88" s="25">
        <f>IFERROR(__xludf.DUMMYFUNCTION("SPLIT(A88,"","")"),194.0)</f>
        <v>194</v>
      </c>
      <c r="C88" s="25" t="str">
        <f>IFERROR(__xludf.DUMMYFUNCTION("""COMPUTED_VALUE"""),"মোঃ হানেফ আলি")</f>
        <v>মোঃ হানেফ আলি</v>
      </c>
      <c r="D88" s="25">
        <f>IFERROR(__xludf.DUMMYFUNCTION("""COMPUTED_VALUE"""),5.7015637819E11)</f>
        <v>570156378190</v>
      </c>
      <c r="E88" s="25" t="str">
        <f>IFERROR(__xludf.DUMMYFUNCTION("""COMPUTED_VALUE"""),"মোঃ মজিবর রহমান")</f>
        <v>মোঃ মজিবর রহমান</v>
      </c>
      <c r="F88" s="25" t="str">
        <f>IFERROR(__xludf.DUMMYFUNCTION("""COMPUTED_VALUE"""),"মোছাঃ মইমানা খাতুন")</f>
        <v>মোছাঃ মইমানা খাতুন</v>
      </c>
      <c r="G88" s="25" t="str">
        <f>IFERROR(__xludf.DUMMYFUNCTION("""COMPUTED_VALUE"""),"৩০/০৭/১৯৭৭")</f>
        <v>৩০/০৭/১৯৭৭</v>
      </c>
      <c r="H88" s="25" t="str">
        <f>IFERROR(__xludf.DUMMYFUNCTION("""COMPUTED_VALUE"""),"কৃষক")</f>
        <v>কৃষক</v>
      </c>
      <c r="I88" s="25" t="str">
        <f>IFERROR(__xludf.DUMMYFUNCTION("""COMPUTED_VALUE"""),"""জালশুকা")</f>
        <v>"জালশুকা</v>
      </c>
      <c r="J88" s="25" t="str">
        <f>IFERROR(__xludf.DUMMYFUNCTION("""COMPUTED_VALUE""")," গাংনী")</f>
        <v> গাংনী</v>
      </c>
      <c r="K88" s="25" t="str">
        <f>IFERROR(__xludf.DUMMYFUNCTION("""COMPUTED_VALUE""")," মেহেরপুর""")</f>
        <v> মেহেরপুর"</v>
      </c>
    </row>
    <row r="89">
      <c r="A89" s="24" t="s">
        <v>2782</v>
      </c>
      <c r="B89" s="25">
        <f>IFERROR(__xludf.DUMMYFUNCTION("SPLIT(A89,"","")"),195.0)</f>
        <v>195</v>
      </c>
      <c r="C89" s="25" t="str">
        <f>IFERROR(__xludf.DUMMYFUNCTION("""COMPUTED_VALUE"""),"মোঃ তমছের আলি")</f>
        <v>মোঃ তমছের আলি</v>
      </c>
      <c r="D89" s="25">
        <f>IFERROR(__xludf.DUMMYFUNCTION("""COMPUTED_VALUE"""),5.70156378193E11)</f>
        <v>570156378193</v>
      </c>
      <c r="E89" s="25" t="str">
        <f>IFERROR(__xludf.DUMMYFUNCTION("""COMPUTED_VALUE"""),"মোঃ আমীর মন্ডল")</f>
        <v>মোঃ আমীর মন্ডল</v>
      </c>
      <c r="F89" s="25" t="str">
        <f>IFERROR(__xludf.DUMMYFUNCTION("""COMPUTED_VALUE"""),"মোছাঃ জামিরন")</f>
        <v>মোছাঃ জামিরন</v>
      </c>
      <c r="G89" s="25" t="str">
        <f>IFERROR(__xludf.DUMMYFUNCTION("""COMPUTED_VALUE"""),"১১/০৯/১৯৬৭")</f>
        <v>১১/০৯/১৯৬৭</v>
      </c>
      <c r="H89" s="25" t="str">
        <f>IFERROR(__xludf.DUMMYFUNCTION("""COMPUTED_VALUE"""),"কৃষক")</f>
        <v>কৃষক</v>
      </c>
      <c r="I89" s="25" t="str">
        <f>IFERROR(__xludf.DUMMYFUNCTION("""COMPUTED_VALUE"""),"""জালশুকা")</f>
        <v>"জালশুকা</v>
      </c>
      <c r="J89" s="25" t="str">
        <f>IFERROR(__xludf.DUMMYFUNCTION("""COMPUTED_VALUE""")," গাংনী")</f>
        <v> গাংনী</v>
      </c>
      <c r="K89" s="25" t="str">
        <f>IFERROR(__xludf.DUMMYFUNCTION("""COMPUTED_VALUE""")," মেহেরপুর""")</f>
        <v> মেহেরপুর"</v>
      </c>
    </row>
    <row r="90">
      <c r="A90" s="24" t="s">
        <v>2783</v>
      </c>
      <c r="B90" s="25">
        <f>IFERROR(__xludf.DUMMYFUNCTION("SPLIT(A90,"","")"),196.0)</f>
        <v>196</v>
      </c>
      <c r="C90" s="25" t="str">
        <f>IFERROR(__xludf.DUMMYFUNCTION("""COMPUTED_VALUE"""),"মোঃ মনিরুল ইসলাম")</f>
        <v>মোঃ মনিরুল ইসলাম</v>
      </c>
      <c r="D90" s="25">
        <f>IFERROR(__xludf.DUMMYFUNCTION("""COMPUTED_VALUE"""),5.70156378195E11)</f>
        <v>570156378195</v>
      </c>
      <c r="E90" s="25" t="str">
        <f>IFERROR(__xludf.DUMMYFUNCTION("""COMPUTED_VALUE"""),"মোঃ তমছের আলী")</f>
        <v>মোঃ তমছের আলী</v>
      </c>
      <c r="F90" s="25" t="str">
        <f>IFERROR(__xludf.DUMMYFUNCTION("""COMPUTED_VALUE"""),"মোছাঃ তাসলিমা খাতুন")</f>
        <v>মোছাঃ তাসলিমা খাতুন</v>
      </c>
      <c r="G90" s="25" t="str">
        <f>IFERROR(__xludf.DUMMYFUNCTION("""COMPUTED_VALUE"""),"০৫/০৩/১৯৮৪")</f>
        <v>০৫/০৩/১৯৮৪</v>
      </c>
      <c r="H90" s="25" t="str">
        <f>IFERROR(__xludf.DUMMYFUNCTION("""COMPUTED_VALUE"""),"কৃষক")</f>
        <v>কৃষক</v>
      </c>
      <c r="I90" s="25" t="str">
        <f>IFERROR(__xludf.DUMMYFUNCTION("""COMPUTED_VALUE"""),"""জালশুকা")</f>
        <v>"জালশুকা</v>
      </c>
      <c r="J90" s="25" t="str">
        <f>IFERROR(__xludf.DUMMYFUNCTION("""COMPUTED_VALUE""")," গাংনী")</f>
        <v> গাংনী</v>
      </c>
      <c r="K90" s="25" t="str">
        <f>IFERROR(__xludf.DUMMYFUNCTION("""COMPUTED_VALUE""")," মেহেরপুর""")</f>
        <v> মেহেরপুর"</v>
      </c>
    </row>
    <row r="91">
      <c r="A91" s="24" t="s">
        <v>2784</v>
      </c>
      <c r="B91" s="25">
        <f>IFERROR(__xludf.DUMMYFUNCTION("SPLIT(A91,"","")"),197.0)</f>
        <v>197</v>
      </c>
      <c r="C91" s="25" t="str">
        <f>IFERROR(__xludf.DUMMYFUNCTION("""COMPUTED_VALUE"""),"মোঃ নজরুল ইসলাম")</f>
        <v>মোঃ নজরুল ইসলাম</v>
      </c>
      <c r="D91" s="25">
        <f>IFERROR(__xludf.DUMMYFUNCTION("""COMPUTED_VALUE"""),5.70156378197E11)</f>
        <v>570156378197</v>
      </c>
      <c r="E91" s="25" t="str">
        <f>IFERROR(__xludf.DUMMYFUNCTION("""COMPUTED_VALUE"""),"খলিলুর রহমান")</f>
        <v>খলিলুর রহমান</v>
      </c>
      <c r="F91" s="25" t="str">
        <f>IFERROR(__xludf.DUMMYFUNCTION("""COMPUTED_VALUE"""),"মোছাঃ তোফারন নেছা")</f>
        <v>মোছাঃ তোফারন নেছা</v>
      </c>
      <c r="G91" s="25" t="str">
        <f>IFERROR(__xludf.DUMMYFUNCTION("""COMPUTED_VALUE"""),"০২/০৩/১৯৭২")</f>
        <v>০২/০৩/১৯৭২</v>
      </c>
      <c r="H91" s="25" t="str">
        <f>IFERROR(__xludf.DUMMYFUNCTION("""COMPUTED_VALUE"""),"কৃষক")</f>
        <v>কৃষক</v>
      </c>
      <c r="I91" s="25" t="str">
        <f>IFERROR(__xludf.DUMMYFUNCTION("""COMPUTED_VALUE"""),"""জালশুকা")</f>
        <v>"জালশুকা</v>
      </c>
      <c r="J91" s="25" t="str">
        <f>IFERROR(__xludf.DUMMYFUNCTION("""COMPUTED_VALUE""")," গাংনী")</f>
        <v> গাংনী</v>
      </c>
      <c r="K91" s="25" t="str">
        <f>IFERROR(__xludf.DUMMYFUNCTION("""COMPUTED_VALUE""")," মেহেরপুর""")</f>
        <v> মেহেরপুর"</v>
      </c>
    </row>
    <row r="92">
      <c r="A92" s="24" t="s">
        <v>2785</v>
      </c>
      <c r="B92" s="25">
        <f>IFERROR(__xludf.DUMMYFUNCTION("SPLIT(A92,"","")"),198.0)</f>
        <v>198</v>
      </c>
      <c r="C92" s="25" t="str">
        <f>IFERROR(__xludf.DUMMYFUNCTION("""COMPUTED_VALUE"""),"মোঃ আঃ রাজ্জাক")</f>
        <v>মোঃ আঃ রাজ্জাক</v>
      </c>
      <c r="D92" s="25">
        <f>IFERROR(__xludf.DUMMYFUNCTION("""COMPUTED_VALUE"""),5.70156378198E11)</f>
        <v>570156378198</v>
      </c>
      <c r="E92" s="25" t="str">
        <f>IFERROR(__xludf.DUMMYFUNCTION("""COMPUTED_VALUE"""),"জবেদ আলী")</f>
        <v>জবেদ আলী</v>
      </c>
      <c r="F92" s="25" t="str">
        <f>IFERROR(__xludf.DUMMYFUNCTION("""COMPUTED_VALUE"""),"শরিফান নেছা")</f>
        <v>শরিফান নেছা</v>
      </c>
      <c r="G92" s="25" t="str">
        <f>IFERROR(__xludf.DUMMYFUNCTION("""COMPUTED_VALUE"""),"২৫/১১/১৯৬২")</f>
        <v>২৫/১১/১৯৬২</v>
      </c>
      <c r="H92" s="25" t="str">
        <f>IFERROR(__xludf.DUMMYFUNCTION("""COMPUTED_VALUE"""),"কৃষক")</f>
        <v>কৃষক</v>
      </c>
      <c r="I92" s="25" t="str">
        <f>IFERROR(__xludf.DUMMYFUNCTION("""COMPUTED_VALUE"""),"""জালশুকা")</f>
        <v>"জালশুকা</v>
      </c>
      <c r="J92" s="25" t="str">
        <f>IFERROR(__xludf.DUMMYFUNCTION("""COMPUTED_VALUE""")," গাংনী")</f>
        <v> গাংনী</v>
      </c>
      <c r="K92" s="25" t="str">
        <f>IFERROR(__xludf.DUMMYFUNCTION("""COMPUTED_VALUE""")," মেহেরপুর""")</f>
        <v> মেহেরপুর"</v>
      </c>
    </row>
    <row r="93">
      <c r="A93" s="24" t="s">
        <v>2786</v>
      </c>
      <c r="B93" s="25">
        <f>IFERROR(__xludf.DUMMYFUNCTION("SPLIT(A93,"","")"),199.0)</f>
        <v>199</v>
      </c>
      <c r="C93" s="25" t="str">
        <f>IFERROR(__xludf.DUMMYFUNCTION("""COMPUTED_VALUE"""),"মোঃ তুহিন আলী")</f>
        <v>মোঃ তুহিন আলী</v>
      </c>
      <c r="D93" s="25">
        <f>IFERROR(__xludf.DUMMYFUNCTION("""COMPUTED_VALUE"""),5.70156378201E11)</f>
        <v>570156378201</v>
      </c>
      <c r="E93" s="25" t="str">
        <f>IFERROR(__xludf.DUMMYFUNCTION("""COMPUTED_VALUE"""),"মোঃ বাবলু আলী")</f>
        <v>মোঃ বাবলু আলী</v>
      </c>
      <c r="F93" s="25" t="str">
        <f>IFERROR(__xludf.DUMMYFUNCTION("""COMPUTED_VALUE"""),"মোছাঃ অলিয়া খাতুন")</f>
        <v>মোছাঃ অলিয়া খাতুন</v>
      </c>
      <c r="G93" s="25" t="str">
        <f>IFERROR(__xludf.DUMMYFUNCTION("""COMPUTED_VALUE"""),"০৫/০৭/১৯৮৪")</f>
        <v>০৫/০৭/১৯৮৪</v>
      </c>
      <c r="H93" s="25" t="str">
        <f>IFERROR(__xludf.DUMMYFUNCTION("""COMPUTED_VALUE"""),"কৃষক")</f>
        <v>কৃষক</v>
      </c>
      <c r="I93" s="25" t="str">
        <f>IFERROR(__xludf.DUMMYFUNCTION("""COMPUTED_VALUE"""),"""জালশুকা")</f>
        <v>"জালশুকা</v>
      </c>
      <c r="J93" s="25" t="str">
        <f>IFERROR(__xludf.DUMMYFUNCTION("""COMPUTED_VALUE""")," গাংনী")</f>
        <v> গাংনী</v>
      </c>
      <c r="K93" s="25" t="str">
        <f>IFERROR(__xludf.DUMMYFUNCTION("""COMPUTED_VALUE""")," মেহেরপুর""")</f>
        <v> মেহেরপুর"</v>
      </c>
    </row>
    <row r="94">
      <c r="A94" s="24" t="s">
        <v>2787</v>
      </c>
      <c r="B94" s="25">
        <f>IFERROR(__xludf.DUMMYFUNCTION("SPLIT(A94,"","")"),200.0)</f>
        <v>200</v>
      </c>
      <c r="C94" s="25" t="str">
        <f>IFERROR(__xludf.DUMMYFUNCTION("""COMPUTED_VALUE"""),"মোঃ বাবলু আলী")</f>
        <v>মোঃ বাবলু আলী</v>
      </c>
      <c r="D94" s="25">
        <f>IFERROR(__xludf.DUMMYFUNCTION("""COMPUTED_VALUE"""),5.70156378203E11)</f>
        <v>570156378203</v>
      </c>
      <c r="E94" s="25" t="str">
        <f>IFERROR(__xludf.DUMMYFUNCTION("""COMPUTED_VALUE"""),"লুৎফর রহমান")</f>
        <v>লুৎফর রহমান</v>
      </c>
      <c r="F94" s="25" t="str">
        <f>IFERROR(__xludf.DUMMYFUNCTION("""COMPUTED_VALUE"""),"মোছাঃ রাবিয়া খাতুন")</f>
        <v>মোছাঃ রাবিয়া খাতুন</v>
      </c>
      <c r="G94" s="25" t="str">
        <f>IFERROR(__xludf.DUMMYFUNCTION("""COMPUTED_VALUE"""),"১৯/০৪/১৯৫৯")</f>
        <v>১৯/০৪/১৯৫৯</v>
      </c>
      <c r="H94" s="25" t="str">
        <f>IFERROR(__xludf.DUMMYFUNCTION("""COMPUTED_VALUE"""),"ব্যবসা")</f>
        <v>ব্যবসা</v>
      </c>
      <c r="I94" s="25" t="str">
        <f>IFERROR(__xludf.DUMMYFUNCTION("""COMPUTED_VALUE"""),"""জালশুকা উত্তর পাড়া")</f>
        <v>"জালশুকা উত্তর পাড়া</v>
      </c>
      <c r="J94" s="25" t="str">
        <f>IFERROR(__xludf.DUMMYFUNCTION("""COMPUTED_VALUE""")," গাংনী")</f>
        <v> গাংনী</v>
      </c>
      <c r="K94" s="25" t="str">
        <f>IFERROR(__xludf.DUMMYFUNCTION("""COMPUTED_VALUE""")," মেহেরপুর""")</f>
        <v> মেহেরপুর"</v>
      </c>
    </row>
    <row r="95">
      <c r="A95" s="24" t="s">
        <v>2788</v>
      </c>
      <c r="B95" s="25">
        <f>IFERROR(__xludf.DUMMYFUNCTION("SPLIT(A95,"","")"),201.0)</f>
        <v>201</v>
      </c>
      <c r="C95" s="25" t="str">
        <f>IFERROR(__xludf.DUMMYFUNCTION("""COMPUTED_VALUE"""),"মোঃ ফজলুল হক")</f>
        <v>মোঃ ফজলুল হক</v>
      </c>
      <c r="D95" s="25">
        <f>IFERROR(__xludf.DUMMYFUNCTION("""COMPUTED_VALUE"""),5.70156378208E11)</f>
        <v>570156378208</v>
      </c>
      <c r="E95" s="25" t="str">
        <f>IFERROR(__xludf.DUMMYFUNCTION("""COMPUTED_VALUE"""),"লৎফর রহমান")</f>
        <v>লৎফর রহমান</v>
      </c>
      <c r="F95" s="25" t="str">
        <f>IFERROR(__xludf.DUMMYFUNCTION("""COMPUTED_VALUE"""),"রাবিয়া খাতুন")</f>
        <v>রাবিয়া খাতুন</v>
      </c>
      <c r="G95" s="25" t="str">
        <f>IFERROR(__xludf.DUMMYFUNCTION("""COMPUTED_VALUE"""),"১২/১০/১৯৪৫")</f>
        <v>১২/১০/১৯৪৫</v>
      </c>
      <c r="H95" s="25" t="str">
        <f>IFERROR(__xludf.DUMMYFUNCTION("""COMPUTED_VALUE"""),"কৃষক")</f>
        <v>কৃষক</v>
      </c>
      <c r="I95" s="25" t="str">
        <f>IFERROR(__xludf.DUMMYFUNCTION("""COMPUTED_VALUE"""),"""জালশুকা মসজিদ পাড়া")</f>
        <v>"জালশুকা মসজিদ পাড়া</v>
      </c>
      <c r="J95" s="25" t="str">
        <f>IFERROR(__xludf.DUMMYFUNCTION("""COMPUTED_VALUE""")," গাংনী")</f>
        <v> গাংনী</v>
      </c>
      <c r="K95" s="25" t="str">
        <f>IFERROR(__xludf.DUMMYFUNCTION("""COMPUTED_VALUE""")," মেহেরপুর""")</f>
        <v> মেহেরপুর"</v>
      </c>
    </row>
    <row r="96">
      <c r="A96" s="24" t="s">
        <v>2789</v>
      </c>
      <c r="B96" s="25">
        <f>IFERROR(__xludf.DUMMYFUNCTION("SPLIT(A96,"","")"),202.0)</f>
        <v>202</v>
      </c>
      <c r="C96" s="25" t="str">
        <f>IFERROR(__xludf.DUMMYFUNCTION("""COMPUTED_VALUE"""),"মোঃ সাইফুল ইসলাম")</f>
        <v>মোঃ সাইফুল ইসলাম</v>
      </c>
      <c r="D96" s="25">
        <f>IFERROR(__xludf.DUMMYFUNCTION("""COMPUTED_VALUE"""),5.70156378209E11)</f>
        <v>570156378209</v>
      </c>
      <c r="E96" s="25" t="str">
        <f>IFERROR(__xludf.DUMMYFUNCTION("""COMPUTED_VALUE"""),"মোঃ ফজলুল হক")</f>
        <v>মোঃ ফজলুল হক</v>
      </c>
      <c r="F96" s="25" t="str">
        <f>IFERROR(__xludf.DUMMYFUNCTION("""COMPUTED_VALUE"""),"মোছাঃ রোকেয়া বেগম")</f>
        <v>মোছাঃ রোকেয়া বেগম</v>
      </c>
      <c r="G96" s="25" t="str">
        <f>IFERROR(__xludf.DUMMYFUNCTION("""COMPUTED_VALUE"""),"১১/০৮/১৯৮০")</f>
        <v>১১/০৮/১৯৮০</v>
      </c>
      <c r="H96" s="25" t="str">
        <f>IFERROR(__xludf.DUMMYFUNCTION("""COMPUTED_VALUE"""),"কৃষক")</f>
        <v>কৃষক</v>
      </c>
      <c r="I96" s="25" t="str">
        <f>IFERROR(__xludf.DUMMYFUNCTION("""COMPUTED_VALUE"""),"""জালশুকা")</f>
        <v>"জালশুকা</v>
      </c>
      <c r="J96" s="25" t="str">
        <f>IFERROR(__xludf.DUMMYFUNCTION("""COMPUTED_VALUE""")," গাংনী")</f>
        <v> গাংনী</v>
      </c>
      <c r="K96" s="25" t="str">
        <f>IFERROR(__xludf.DUMMYFUNCTION("""COMPUTED_VALUE""")," মেহেরপুর""")</f>
        <v> মেহেরপুর"</v>
      </c>
    </row>
    <row r="97">
      <c r="A97" s="24" t="s">
        <v>2790</v>
      </c>
      <c r="B97" s="25">
        <f>IFERROR(__xludf.DUMMYFUNCTION("SPLIT(A97,"","")"),203.0)</f>
        <v>203</v>
      </c>
      <c r="C97" s="25" t="str">
        <f>IFERROR(__xludf.DUMMYFUNCTION("""COMPUTED_VALUE"""),"মোঃ বাবুল হোসেন")</f>
        <v>মোঃ বাবুল হোসেন</v>
      </c>
      <c r="D97" s="25">
        <f>IFERROR(__xludf.DUMMYFUNCTION("""COMPUTED_VALUE"""),5.70156378211E11)</f>
        <v>570156378211</v>
      </c>
      <c r="E97" s="25" t="str">
        <f>IFERROR(__xludf.DUMMYFUNCTION("""COMPUTED_VALUE"""),"মোঃ আবুল হোসেন")</f>
        <v>মোঃ আবুল হোসেন</v>
      </c>
      <c r="F97" s="25" t="str">
        <f>IFERROR(__xludf.DUMMYFUNCTION("""COMPUTED_VALUE"""),"মোছাঃ মছিরন নেছা")</f>
        <v>মোছাঃ মছিরন নেছা</v>
      </c>
      <c r="G97" s="25" t="str">
        <f>IFERROR(__xludf.DUMMYFUNCTION("""COMPUTED_VALUE"""),"০৪/০৭/১৯৭২")</f>
        <v>০৪/০৭/১৯৭২</v>
      </c>
      <c r="H97" s="25" t="str">
        <f>IFERROR(__xludf.DUMMYFUNCTION("""COMPUTED_VALUE"""),"কৃষক")</f>
        <v>কৃষক</v>
      </c>
      <c r="I97" s="25" t="str">
        <f>IFERROR(__xludf.DUMMYFUNCTION("""COMPUTED_VALUE"""),"""জালশুকা")</f>
        <v>"জালশুকা</v>
      </c>
      <c r="J97" s="25" t="str">
        <f>IFERROR(__xludf.DUMMYFUNCTION("""COMPUTED_VALUE""")," গাংনী")</f>
        <v> গাংনী</v>
      </c>
      <c r="K97" s="25" t="str">
        <f>IFERROR(__xludf.DUMMYFUNCTION("""COMPUTED_VALUE""")," মেহেরপুর""")</f>
        <v> মেহেরপুর"</v>
      </c>
    </row>
    <row r="98">
      <c r="A98" s="24" t="s">
        <v>2791</v>
      </c>
      <c r="B98" s="25">
        <f>IFERROR(__xludf.DUMMYFUNCTION("SPLIT(A98,"","")"),204.0)</f>
        <v>204</v>
      </c>
      <c r="C98" s="25" t="str">
        <f>IFERROR(__xludf.DUMMYFUNCTION("""COMPUTED_VALUE"""),"মোঃ ঈশারুদ্দীন")</f>
        <v>মোঃ ঈশারুদ্দীন</v>
      </c>
      <c r="D98" s="25">
        <f>IFERROR(__xludf.DUMMYFUNCTION("""COMPUTED_VALUE"""),5.70156378212E11)</f>
        <v>570156378212</v>
      </c>
      <c r="E98" s="25" t="str">
        <f>IFERROR(__xludf.DUMMYFUNCTION("""COMPUTED_VALUE"""),"তাহাজদ্দিন")</f>
        <v>তাহাজদ্দিন</v>
      </c>
      <c r="F98" s="25" t="str">
        <f>IFERROR(__xludf.DUMMYFUNCTION("""COMPUTED_VALUE"""),"মোছাঃ সফুরা খাতুন")</f>
        <v>মোছাঃ সফুরা খাতুন</v>
      </c>
      <c r="G98" s="25" t="str">
        <f>IFERROR(__xludf.DUMMYFUNCTION("""COMPUTED_VALUE"""),"১৭/০৮/১৯৬৪")</f>
        <v>১৭/০৮/১৯৬৪</v>
      </c>
      <c r="H98" s="25" t="str">
        <f>IFERROR(__xludf.DUMMYFUNCTION("""COMPUTED_VALUE"""),"কৃষক")</f>
        <v>কৃষক</v>
      </c>
      <c r="I98" s="25" t="str">
        <f>IFERROR(__xludf.DUMMYFUNCTION("""COMPUTED_VALUE"""),"""জালশুকা মসজিদ পাড়া")</f>
        <v>"জালশুকা মসজিদ পাড়া</v>
      </c>
      <c r="J98" s="25" t="str">
        <f>IFERROR(__xludf.DUMMYFUNCTION("""COMPUTED_VALUE""")," গাংনী")</f>
        <v> গাংনী</v>
      </c>
      <c r="K98" s="25" t="str">
        <f>IFERROR(__xludf.DUMMYFUNCTION("""COMPUTED_VALUE""")," মেহেরপুর""")</f>
        <v> মেহেরপুর"</v>
      </c>
    </row>
    <row r="99">
      <c r="A99" s="24" t="s">
        <v>2792</v>
      </c>
      <c r="B99" s="25">
        <f>IFERROR(__xludf.DUMMYFUNCTION("SPLIT(A99,"","")"),205.0)</f>
        <v>205</v>
      </c>
      <c r="C99" s="25" t="str">
        <f>IFERROR(__xludf.DUMMYFUNCTION("""COMPUTED_VALUE"""),"মোঃ আমিরুল ইসলাম")</f>
        <v>মোঃ আমিরুল ইসলাম</v>
      </c>
      <c r="D99" s="25">
        <f>IFERROR(__xludf.DUMMYFUNCTION("""COMPUTED_VALUE"""),5.70156378215E11)</f>
        <v>570156378215</v>
      </c>
      <c r="E99" s="25" t="str">
        <f>IFERROR(__xludf.DUMMYFUNCTION("""COMPUTED_VALUE"""),"যাদু মন্ডল")</f>
        <v>যাদু মন্ডল</v>
      </c>
      <c r="F99" s="25" t="str">
        <f>IFERROR(__xludf.DUMMYFUNCTION("""COMPUTED_VALUE"""),"মোছাঃ জেলেপন")</f>
        <v>মোছাঃ জেলেপন</v>
      </c>
      <c r="G99" s="25" t="str">
        <f>IFERROR(__xludf.DUMMYFUNCTION("""COMPUTED_VALUE"""),"২১/০৪/১৯৭০")</f>
        <v>২১/০৪/১৯৭০</v>
      </c>
      <c r="H99" s="25" t="str">
        <f>IFERROR(__xludf.DUMMYFUNCTION("""COMPUTED_VALUE"""),"কৃষক")</f>
        <v>কৃষক</v>
      </c>
      <c r="I99" s="25" t="str">
        <f>IFERROR(__xludf.DUMMYFUNCTION("""COMPUTED_VALUE"""),"""জালশুকা মসজিদ পাড়া")</f>
        <v>"জালশুকা মসজিদ পাড়া</v>
      </c>
      <c r="J99" s="25" t="str">
        <f>IFERROR(__xludf.DUMMYFUNCTION("""COMPUTED_VALUE""")," গাংনী")</f>
        <v> গাংনী</v>
      </c>
      <c r="K99" s="25" t="str">
        <f>IFERROR(__xludf.DUMMYFUNCTION("""COMPUTED_VALUE""")," মেহেরপুর""")</f>
        <v> মেহেরপুর"</v>
      </c>
    </row>
    <row r="100">
      <c r="A100" s="24" t="s">
        <v>2793</v>
      </c>
      <c r="B100" s="25">
        <f>IFERROR(__xludf.DUMMYFUNCTION("SPLIT(A100,"","")"),206.0)</f>
        <v>206</v>
      </c>
      <c r="C100" s="25" t="str">
        <f>IFERROR(__xludf.DUMMYFUNCTION("""COMPUTED_VALUE"""),"মোঃ জাহাঙ্গীর আলম")</f>
        <v>মোঃ জাহাঙ্গীর আলম</v>
      </c>
      <c r="D100" s="25">
        <f>IFERROR(__xludf.DUMMYFUNCTION("""COMPUTED_VALUE"""),5.70156378218E11)</f>
        <v>570156378218</v>
      </c>
      <c r="E100" s="25" t="str">
        <f>IFERROR(__xludf.DUMMYFUNCTION("""COMPUTED_VALUE"""),"মোঃ ঈশারুদ্দীন")</f>
        <v>মোঃ ঈশারুদ্দীন</v>
      </c>
      <c r="F100" s="25" t="str">
        <f>IFERROR(__xludf.DUMMYFUNCTION("""COMPUTED_VALUE"""),"মোছাঃ আশানুর")</f>
        <v>মোছাঃ আশানুর</v>
      </c>
      <c r="G100" s="25" t="str">
        <f>IFERROR(__xludf.DUMMYFUNCTION("""COMPUTED_VALUE"""),"০৯/০৪/১৯৭৯")</f>
        <v>০৯/০৪/১৯৭৯</v>
      </c>
      <c r="H100" s="25" t="str">
        <f>IFERROR(__xludf.DUMMYFUNCTION("""COMPUTED_VALUE"""),"কৃষক")</f>
        <v>কৃষক</v>
      </c>
      <c r="I100" s="25" t="str">
        <f>IFERROR(__xludf.DUMMYFUNCTION("""COMPUTED_VALUE"""),"""জালশুকা মসজিদ পাড়া")</f>
        <v>"জালশুকা মসজিদ পাড়া</v>
      </c>
      <c r="J100" s="25" t="str">
        <f>IFERROR(__xludf.DUMMYFUNCTION("""COMPUTED_VALUE""")," গাংনী")</f>
        <v> গাংনী</v>
      </c>
      <c r="K100" s="25" t="str">
        <f>IFERROR(__xludf.DUMMYFUNCTION("""COMPUTED_VALUE""")," মেহেরপুর""")</f>
        <v> মেহেরপুর"</v>
      </c>
    </row>
    <row r="101">
      <c r="A101" s="24" t="s">
        <v>2794</v>
      </c>
      <c r="B101" s="25">
        <f>IFERROR(__xludf.DUMMYFUNCTION("SPLIT(A101,"","")"),207.0)</f>
        <v>207</v>
      </c>
      <c r="C101" s="25" t="str">
        <f>IFERROR(__xludf.DUMMYFUNCTION("""COMPUTED_VALUE"""),"মোঃ শিপলু আলী")</f>
        <v>মোঃ শিপলু আলী</v>
      </c>
      <c r="D101" s="25">
        <f>IFERROR(__xludf.DUMMYFUNCTION("""COMPUTED_VALUE"""),5.70156378219E11)</f>
        <v>570156378219</v>
      </c>
      <c r="E101" s="25" t="str">
        <f>IFERROR(__xludf.DUMMYFUNCTION("""COMPUTED_VALUE"""),"মোঃ তাহিরুদ্দীন")</f>
        <v>মোঃ তাহিরুদ্দীন</v>
      </c>
      <c r="F101" s="25" t="str">
        <f>IFERROR(__xludf.DUMMYFUNCTION("""COMPUTED_VALUE"""),"মোছাঃ রেবেকা খাতুন")</f>
        <v>মোছাঃ রেবেকা খাতুন</v>
      </c>
      <c r="G101" s="25" t="str">
        <f>IFERROR(__xludf.DUMMYFUNCTION("""COMPUTED_VALUE"""),"০৮/০৫/১৯৮৮")</f>
        <v>০৮/০৫/১৯৮৮</v>
      </c>
      <c r="H101" s="25" t="str">
        <f>IFERROR(__xludf.DUMMYFUNCTION("""COMPUTED_VALUE"""),"কৃষক")</f>
        <v>কৃষক</v>
      </c>
      <c r="I101" s="25" t="str">
        <f>IFERROR(__xludf.DUMMYFUNCTION("""COMPUTED_VALUE"""),"""জালশুকা মসজিদ পাড়া")</f>
        <v>"জালশুকা মসজিদ পাড়া</v>
      </c>
      <c r="J101" s="25" t="str">
        <f>IFERROR(__xludf.DUMMYFUNCTION("""COMPUTED_VALUE""")," গাংনী")</f>
        <v> গাংনী</v>
      </c>
      <c r="K101" s="25" t="str">
        <f>IFERROR(__xludf.DUMMYFUNCTION("""COMPUTED_VALUE""")," মেহেরপুর""")</f>
        <v> মেহেরপুর"</v>
      </c>
    </row>
    <row r="102">
      <c r="A102" s="24" t="s">
        <v>2795</v>
      </c>
      <c r="B102" s="25">
        <f>IFERROR(__xludf.DUMMYFUNCTION("SPLIT(A102,"","")"),208.0)</f>
        <v>208</v>
      </c>
      <c r="C102" s="25" t="str">
        <f>IFERROR(__xludf.DUMMYFUNCTION("""COMPUTED_VALUE"""),"মোঃ মাসুদ আলী")</f>
        <v>মোঃ মাসুদ আলী</v>
      </c>
      <c r="D102" s="25">
        <f>IFERROR(__xludf.DUMMYFUNCTION("""COMPUTED_VALUE"""),5.7015637822E11)</f>
        <v>570156378220</v>
      </c>
      <c r="E102" s="25" t="str">
        <f>IFERROR(__xludf.DUMMYFUNCTION("""COMPUTED_VALUE"""),"মোঃ দবির উদ্দীন")</f>
        <v>মোঃ দবির উদ্দীন</v>
      </c>
      <c r="F102" s="25" t="str">
        <f>IFERROR(__xludf.DUMMYFUNCTION("""COMPUTED_VALUE"""),"মোছাঃ জয়নব নেছা")</f>
        <v>মোছাঃ জয়নব নেছা</v>
      </c>
      <c r="G102" s="25" t="str">
        <f>IFERROR(__xludf.DUMMYFUNCTION("""COMPUTED_VALUE"""),"১৫/০৩/১৯৮৩")</f>
        <v>১৫/০৩/১৯৮৩</v>
      </c>
      <c r="H102" s="25" t="str">
        <f>IFERROR(__xludf.DUMMYFUNCTION("""COMPUTED_VALUE"""),"কৃষক")</f>
        <v>কৃষক</v>
      </c>
      <c r="I102" s="25" t="str">
        <f>IFERROR(__xludf.DUMMYFUNCTION("""COMPUTED_VALUE"""),"""জালশুকা")</f>
        <v>"জালশুকা</v>
      </c>
      <c r="J102" s="25" t="str">
        <f>IFERROR(__xludf.DUMMYFUNCTION("""COMPUTED_VALUE""")," গাংনী")</f>
        <v> গাংনী</v>
      </c>
      <c r="K102" s="25" t="str">
        <f>IFERROR(__xludf.DUMMYFUNCTION("""COMPUTED_VALUE""")," মেহেরপুর""")</f>
        <v> মেহেরপুর"</v>
      </c>
    </row>
    <row r="103">
      <c r="A103" s="24" t="s">
        <v>2796</v>
      </c>
      <c r="B103" s="25">
        <f>IFERROR(__xludf.DUMMYFUNCTION("SPLIT(A103,"","")"),209.0)</f>
        <v>209</v>
      </c>
      <c r="C103" s="25" t="str">
        <f>IFERROR(__xludf.DUMMYFUNCTION("""COMPUTED_VALUE"""),"মোঃ ছনিরদ্দীন")</f>
        <v>মোঃ ছনিরদ্দীন</v>
      </c>
      <c r="D103" s="25">
        <f>IFERROR(__xludf.DUMMYFUNCTION("""COMPUTED_VALUE"""),5.70156378222E11)</f>
        <v>570156378222</v>
      </c>
      <c r="E103" s="25" t="str">
        <f>IFERROR(__xludf.DUMMYFUNCTION("""COMPUTED_VALUE"""),"ছামছুদ্দি মালিথা")</f>
        <v>ছামছুদ্দি মালিথা</v>
      </c>
      <c r="F103" s="25" t="str">
        <f>IFERROR(__xludf.DUMMYFUNCTION("""COMPUTED_VALUE"""),"আইজান নেছা")</f>
        <v>আইজান নেছা</v>
      </c>
      <c r="G103" s="25" t="str">
        <f>IFERROR(__xludf.DUMMYFUNCTION("""COMPUTED_VALUE"""),"০১/০১/১৯৪৮")</f>
        <v>০১/০১/১৯৪৮</v>
      </c>
      <c r="H103" s="25" t="str">
        <f>IFERROR(__xludf.DUMMYFUNCTION("""COMPUTED_VALUE"""),"কৃষক")</f>
        <v>কৃষক</v>
      </c>
      <c r="I103" s="25" t="str">
        <f>IFERROR(__xludf.DUMMYFUNCTION("""COMPUTED_VALUE"""),"""জালশুকা")</f>
        <v>"জালশুকা</v>
      </c>
      <c r="J103" s="25" t="str">
        <f>IFERROR(__xludf.DUMMYFUNCTION("""COMPUTED_VALUE""")," গাংনী")</f>
        <v> গাংনী</v>
      </c>
      <c r="K103" s="25" t="str">
        <f>IFERROR(__xludf.DUMMYFUNCTION("""COMPUTED_VALUE""")," মেহেরপুর""")</f>
        <v> মেহেরপুর"</v>
      </c>
    </row>
    <row r="104">
      <c r="A104" s="24" t="s">
        <v>2797</v>
      </c>
      <c r="B104" s="25">
        <f>IFERROR(__xludf.DUMMYFUNCTION("SPLIT(A104,"","")"),210.0)</f>
        <v>210</v>
      </c>
      <c r="C104" s="25" t="str">
        <f>IFERROR(__xludf.DUMMYFUNCTION("""COMPUTED_VALUE"""),"মোঃ আপছার আলী")</f>
        <v>মোঃ আপছার আলী</v>
      </c>
      <c r="D104" s="25">
        <f>IFERROR(__xludf.DUMMYFUNCTION("""COMPUTED_VALUE"""),5.70156378223E11)</f>
        <v>570156378223</v>
      </c>
      <c r="E104" s="25" t="str">
        <f>IFERROR(__xludf.DUMMYFUNCTION("""COMPUTED_VALUE"""),"মোঃ ছনিরদ্দিন")</f>
        <v>মোঃ ছনিরদ্দিন</v>
      </c>
      <c r="F104" s="25" t="str">
        <f>IFERROR(__xludf.DUMMYFUNCTION("""COMPUTED_VALUE"""),"মোছাঃ শবজান")</f>
        <v>মোছাঃ শবজান</v>
      </c>
      <c r="G104" s="25" t="str">
        <f>IFERROR(__xludf.DUMMYFUNCTION("""COMPUTED_VALUE"""),"২৩/০৯/১৯৬৭")</f>
        <v>২৩/০৯/১৯৬৭</v>
      </c>
      <c r="H104" s="25" t="str">
        <f>IFERROR(__xludf.DUMMYFUNCTION("""COMPUTED_VALUE"""),"কৃষক")</f>
        <v>কৃষক</v>
      </c>
      <c r="I104" s="25" t="str">
        <f>IFERROR(__xludf.DUMMYFUNCTION("""COMPUTED_VALUE"""),"""জালশুকা")</f>
        <v>"জালশুকা</v>
      </c>
      <c r="J104" s="25" t="str">
        <f>IFERROR(__xludf.DUMMYFUNCTION("""COMPUTED_VALUE""")," গাংনী")</f>
        <v> গাংনী</v>
      </c>
      <c r="K104" s="25" t="str">
        <f>IFERROR(__xludf.DUMMYFUNCTION("""COMPUTED_VALUE""")," মেহেরপুর""")</f>
        <v> মেহেরপুর"</v>
      </c>
    </row>
    <row r="105">
      <c r="A105" s="24" t="s">
        <v>2798</v>
      </c>
      <c r="B105" s="25">
        <f>IFERROR(__xludf.DUMMYFUNCTION("SPLIT(A105,"","")"),211.0)</f>
        <v>211</v>
      </c>
      <c r="C105" s="25" t="str">
        <f>IFERROR(__xludf.DUMMYFUNCTION("""COMPUTED_VALUE"""),"মোঃ এনামুল হক")</f>
        <v>মোঃ এনামুল হক</v>
      </c>
      <c r="D105" s="25">
        <f>IFERROR(__xludf.DUMMYFUNCTION("""COMPUTED_VALUE"""),5.70156378224E11)</f>
        <v>570156378224</v>
      </c>
      <c r="E105" s="25" t="str">
        <f>IFERROR(__xludf.DUMMYFUNCTION("""COMPUTED_VALUE"""),"মোঃ ছনিরদ্দিন")</f>
        <v>মোঃ ছনিরদ্দিন</v>
      </c>
      <c r="F105" s="25" t="str">
        <f>IFERROR(__xludf.DUMMYFUNCTION("""COMPUTED_VALUE"""),"মোছাঃ শবজান")</f>
        <v>মোছাঃ শবজান</v>
      </c>
      <c r="G105" s="25" t="str">
        <f>IFERROR(__xludf.DUMMYFUNCTION("""COMPUTED_VALUE"""),"০৫/০২/১৯৭৭")</f>
        <v>০৫/০২/১৯৭৭</v>
      </c>
      <c r="H105" s="25" t="str">
        <f>IFERROR(__xludf.DUMMYFUNCTION("""COMPUTED_VALUE"""),"বেকার")</f>
        <v>বেকার</v>
      </c>
      <c r="I105" s="25" t="str">
        <f>IFERROR(__xludf.DUMMYFUNCTION("""COMPUTED_VALUE"""),"""জালশুকা")</f>
        <v>"জালশুকা</v>
      </c>
      <c r="J105" s="25" t="str">
        <f>IFERROR(__xludf.DUMMYFUNCTION("""COMPUTED_VALUE""")," গাংনী")</f>
        <v> গাংনী</v>
      </c>
      <c r="K105" s="25" t="str">
        <f>IFERROR(__xludf.DUMMYFUNCTION("""COMPUTED_VALUE""")," মেহেরপুর""")</f>
        <v> মেহেরপুর"</v>
      </c>
    </row>
    <row r="106">
      <c r="A106" s="24" t="s">
        <v>2799</v>
      </c>
      <c r="B106" s="25">
        <f>IFERROR(__xludf.DUMMYFUNCTION("SPLIT(A106,"","")"),212.0)</f>
        <v>212</v>
      </c>
      <c r="C106" s="25" t="str">
        <f>IFERROR(__xludf.DUMMYFUNCTION("""COMPUTED_VALUE"""),"মোঃ মিয়াজান")</f>
        <v>মোঃ মিয়াজান</v>
      </c>
      <c r="D106" s="25">
        <f>IFERROR(__xludf.DUMMYFUNCTION("""COMPUTED_VALUE"""),5.70156378225E11)</f>
        <v>570156378225</v>
      </c>
      <c r="E106" s="25" t="str">
        <f>IFERROR(__xludf.DUMMYFUNCTION("""COMPUTED_VALUE"""),"মোঃ দবির উদ্দীন")</f>
        <v>মোঃ দবির উদ্দীন</v>
      </c>
      <c r="F106" s="25" t="str">
        <f>IFERROR(__xludf.DUMMYFUNCTION("""COMPUTED_VALUE"""),"মোছাঃ জয়নব নেছা")</f>
        <v>মোছাঃ জয়নব নেছা</v>
      </c>
      <c r="G106" s="25" t="str">
        <f>IFERROR(__xludf.DUMMYFUNCTION("""COMPUTED_VALUE"""),"১৭/০৪/১৯৭২")</f>
        <v>১৭/০৪/১৯৭২</v>
      </c>
      <c r="H106" s="25" t="str">
        <f>IFERROR(__xludf.DUMMYFUNCTION("""COMPUTED_VALUE"""),"কৃষক")</f>
        <v>কৃষক</v>
      </c>
      <c r="I106" s="25" t="str">
        <f>IFERROR(__xludf.DUMMYFUNCTION("""COMPUTED_VALUE"""),"""জালশুকা")</f>
        <v>"জালশুকা</v>
      </c>
      <c r="J106" s="25" t="str">
        <f>IFERROR(__xludf.DUMMYFUNCTION("""COMPUTED_VALUE""")," গাংনী")</f>
        <v> গাংনী</v>
      </c>
      <c r="K106" s="25" t="str">
        <f>IFERROR(__xludf.DUMMYFUNCTION("""COMPUTED_VALUE""")," মেহেরপুর""")</f>
        <v> মেহেরপুর"</v>
      </c>
    </row>
    <row r="107">
      <c r="A107" s="24" t="s">
        <v>2800</v>
      </c>
      <c r="B107" s="25">
        <f>IFERROR(__xludf.DUMMYFUNCTION("SPLIT(A107,"","")"),213.0)</f>
        <v>213</v>
      </c>
      <c r="C107" s="25" t="str">
        <f>IFERROR(__xludf.DUMMYFUNCTION("""COMPUTED_VALUE"""),"মোঃ সুজন আলী")</f>
        <v>মোঃ সুজন আলী</v>
      </c>
      <c r="D107" s="25">
        <f>IFERROR(__xludf.DUMMYFUNCTION("""COMPUTED_VALUE"""),5.70156378226E11)</f>
        <v>570156378226</v>
      </c>
      <c r="E107" s="25" t="str">
        <f>IFERROR(__xludf.DUMMYFUNCTION("""COMPUTED_VALUE"""),"মোঃ মহাসিন আলী")</f>
        <v>মোঃ মহাসিন আলী</v>
      </c>
      <c r="F107" s="25" t="str">
        <f>IFERROR(__xludf.DUMMYFUNCTION("""COMPUTED_VALUE"""),"মোছাঃ ছামসুন্নার")</f>
        <v>মোছাঃ ছামসুন্নার</v>
      </c>
      <c r="G107" s="25" t="str">
        <f>IFERROR(__xludf.DUMMYFUNCTION("""COMPUTED_VALUE"""),"২৬/০৬/১৯৮৮")</f>
        <v>২৬/০৬/১৯৮৮</v>
      </c>
      <c r="H107" s="25" t="str">
        <f>IFERROR(__xludf.DUMMYFUNCTION("""COMPUTED_VALUE"""),"কৃষক")</f>
        <v>কৃষক</v>
      </c>
      <c r="I107" s="25" t="str">
        <f>IFERROR(__xludf.DUMMYFUNCTION("""COMPUTED_VALUE"""),"""জালশুকা")</f>
        <v>"জালশুকা</v>
      </c>
      <c r="J107" s="25" t="str">
        <f>IFERROR(__xludf.DUMMYFUNCTION("""COMPUTED_VALUE""")," গাংনী")</f>
        <v> গাংনী</v>
      </c>
      <c r="K107" s="25" t="str">
        <f>IFERROR(__xludf.DUMMYFUNCTION("""COMPUTED_VALUE""")," মেহেরপুর""")</f>
        <v> মেহেরপুর"</v>
      </c>
    </row>
    <row r="108">
      <c r="A108" s="24" t="s">
        <v>2801</v>
      </c>
      <c r="B108" s="25">
        <f>IFERROR(__xludf.DUMMYFUNCTION("SPLIT(A108,"","")"),214.0)</f>
        <v>214</v>
      </c>
      <c r="C108" s="25" t="str">
        <f>IFERROR(__xludf.DUMMYFUNCTION("""COMPUTED_VALUE"""),"মোঃ জাহাঙ্গীর আলম")</f>
        <v>মোঃ জাহাঙ্গীর আলম</v>
      </c>
      <c r="D108" s="25">
        <f>IFERROR(__xludf.DUMMYFUNCTION("""COMPUTED_VALUE"""),5.70156378227E11)</f>
        <v>570156378227</v>
      </c>
      <c r="E108" s="25" t="str">
        <f>IFERROR(__xludf.DUMMYFUNCTION("""COMPUTED_VALUE"""),"মোঃ মহসিন আলী")</f>
        <v>মোঃ মহসিন আলী</v>
      </c>
      <c r="F108" s="25" t="str">
        <f>IFERROR(__xludf.DUMMYFUNCTION("""COMPUTED_VALUE"""),"মোছাঃ ছামসুন্নাহার")</f>
        <v>মোছাঃ ছামসুন্নাহার</v>
      </c>
      <c r="G108" s="25" t="str">
        <f>IFERROR(__xludf.DUMMYFUNCTION("""COMPUTED_VALUE"""),"০১/০১/১৯৮৭")</f>
        <v>০১/০১/১৯৮৭</v>
      </c>
      <c r="H108" s="25" t="str">
        <f>IFERROR(__xludf.DUMMYFUNCTION("""COMPUTED_VALUE"""),"কৃষক")</f>
        <v>কৃষক</v>
      </c>
      <c r="I108" s="25" t="str">
        <f>IFERROR(__xludf.DUMMYFUNCTION("""COMPUTED_VALUE"""),"""জালশুকা")</f>
        <v>"জালশুকা</v>
      </c>
      <c r="J108" s="25" t="str">
        <f>IFERROR(__xludf.DUMMYFUNCTION("""COMPUTED_VALUE""")," গাংনী")</f>
        <v> গাংনী</v>
      </c>
      <c r="K108" s="25" t="str">
        <f>IFERROR(__xludf.DUMMYFUNCTION("""COMPUTED_VALUE""")," মেহেরপুর""")</f>
        <v> মেহেরপুর"</v>
      </c>
    </row>
    <row r="109">
      <c r="A109" s="24" t="s">
        <v>2802</v>
      </c>
      <c r="B109" s="25">
        <f>IFERROR(__xludf.DUMMYFUNCTION("SPLIT(A109,"","")"),215.0)</f>
        <v>215</v>
      </c>
      <c r="C109" s="25" t="str">
        <f>IFERROR(__xludf.DUMMYFUNCTION("""COMPUTED_VALUE"""),"মোঃ রায়তাল হক")</f>
        <v>মোঃ রায়তাল হক</v>
      </c>
      <c r="D109" s="25">
        <f>IFERROR(__xludf.DUMMYFUNCTION("""COMPUTED_VALUE"""),5.70156378229E11)</f>
        <v>570156378229</v>
      </c>
      <c r="E109" s="25" t="str">
        <f>IFERROR(__xludf.DUMMYFUNCTION("""COMPUTED_VALUE"""),"মোঃ ঘেরের আলী")</f>
        <v>মোঃ ঘেরের আলী</v>
      </c>
      <c r="F109" s="25" t="str">
        <f>IFERROR(__xludf.DUMMYFUNCTION("""COMPUTED_VALUE"""),"মোছাঃ সোহাগী")</f>
        <v>মোছাঃ সোহাগী</v>
      </c>
      <c r="G109" s="25" t="str">
        <f>IFERROR(__xludf.DUMMYFUNCTION("""COMPUTED_VALUE"""),"২০/০২/১৯৬১")</f>
        <v>২০/০২/১৯৬১</v>
      </c>
      <c r="H109" s="25" t="str">
        <f>IFERROR(__xludf.DUMMYFUNCTION("""COMPUTED_VALUE"""),"কৃষক")</f>
        <v>কৃষক</v>
      </c>
      <c r="I109" s="25" t="str">
        <f>IFERROR(__xludf.DUMMYFUNCTION("""COMPUTED_VALUE"""),"""জালশুকা")</f>
        <v>"জালশুকা</v>
      </c>
      <c r="J109" s="25" t="str">
        <f>IFERROR(__xludf.DUMMYFUNCTION("""COMPUTED_VALUE""")," গাংনী")</f>
        <v> গাংনী</v>
      </c>
      <c r="K109" s="25" t="str">
        <f>IFERROR(__xludf.DUMMYFUNCTION("""COMPUTED_VALUE""")," মেহেরপুর""")</f>
        <v> মেহেরপুর"</v>
      </c>
    </row>
    <row r="110">
      <c r="A110" s="24" t="s">
        <v>2803</v>
      </c>
      <c r="B110" s="25">
        <f>IFERROR(__xludf.DUMMYFUNCTION("SPLIT(A110,"","")"),216.0)</f>
        <v>216</v>
      </c>
      <c r="C110" s="25" t="str">
        <f>IFERROR(__xludf.DUMMYFUNCTION("""COMPUTED_VALUE"""),"মোঃ আঃ রাজ্জাক")</f>
        <v>মোঃ আঃ রাজ্জাক</v>
      </c>
      <c r="D110" s="25">
        <f>IFERROR(__xludf.DUMMYFUNCTION("""COMPUTED_VALUE"""),5.7015637823E11)</f>
        <v>570156378230</v>
      </c>
      <c r="E110" s="25" t="str">
        <f>IFERROR(__xludf.DUMMYFUNCTION("""COMPUTED_VALUE"""),"মোঃ জহের মল্লিক")</f>
        <v>মোঃ জহের মল্লিক</v>
      </c>
      <c r="F110" s="25" t="str">
        <f>IFERROR(__xludf.DUMMYFUNCTION("""COMPUTED_VALUE"""),"মোছাঃ ফেলা")</f>
        <v>মোছাঃ ফেলা</v>
      </c>
      <c r="G110" s="25" t="str">
        <f>IFERROR(__xludf.DUMMYFUNCTION("""COMPUTED_VALUE"""),"১৭/১০/১৯৬৯")</f>
        <v>১৭/১০/১৯৬৯</v>
      </c>
      <c r="H110" s="25" t="str">
        <f>IFERROR(__xludf.DUMMYFUNCTION("""COMPUTED_VALUE"""),"কৃষক")</f>
        <v>কৃষক</v>
      </c>
      <c r="I110" s="25" t="str">
        <f>IFERROR(__xludf.DUMMYFUNCTION("""COMPUTED_VALUE"""),"""জালশুকা")</f>
        <v>"জালশুকা</v>
      </c>
      <c r="J110" s="25" t="str">
        <f>IFERROR(__xludf.DUMMYFUNCTION("""COMPUTED_VALUE""")," গাংনী")</f>
        <v> গাংনী</v>
      </c>
      <c r="K110" s="25" t="str">
        <f>IFERROR(__xludf.DUMMYFUNCTION("""COMPUTED_VALUE""")," মেহেরপুর""")</f>
        <v> মেহেরপুর"</v>
      </c>
    </row>
    <row r="111">
      <c r="A111" s="24" t="s">
        <v>2804</v>
      </c>
      <c r="B111" s="25">
        <f>IFERROR(__xludf.DUMMYFUNCTION("SPLIT(A111,"","")"),217.0)</f>
        <v>217</v>
      </c>
      <c r="C111" s="25" t="str">
        <f>IFERROR(__xludf.DUMMYFUNCTION("""COMPUTED_VALUE"""),"মোঃ আশরাফুল আলম")</f>
        <v>মোঃ আশরাফুল আলম</v>
      </c>
      <c r="D111" s="25">
        <f>IFERROR(__xludf.DUMMYFUNCTION("""COMPUTED_VALUE"""),5.70156378231E11)</f>
        <v>570156378231</v>
      </c>
      <c r="E111" s="25" t="str">
        <f>IFERROR(__xludf.DUMMYFUNCTION("""COMPUTED_VALUE"""),"মোঃ ফজলুল হক")</f>
        <v>মোঃ ফজলুল হক</v>
      </c>
      <c r="F111" s="25" t="str">
        <f>IFERROR(__xludf.DUMMYFUNCTION("""COMPUTED_VALUE"""),"মোছাঃ রোকেয়া খাতুন")</f>
        <v>মোছাঃ রোকেয়া খাতুন</v>
      </c>
      <c r="G111" s="25" t="str">
        <f>IFERROR(__xludf.DUMMYFUNCTION("""COMPUTED_VALUE"""),"০১/০১/১৯৮৪")</f>
        <v>০১/০১/১৯৮৪</v>
      </c>
      <c r="H111" s="25" t="str">
        <f>IFERROR(__xludf.DUMMYFUNCTION("""COMPUTED_VALUE"""),"কৃষক")</f>
        <v>কৃষক</v>
      </c>
      <c r="I111" s="25" t="str">
        <f>IFERROR(__xludf.DUMMYFUNCTION("""COMPUTED_VALUE"""),"""জালশুকা")</f>
        <v>"জালশুকা</v>
      </c>
      <c r="J111" s="25" t="str">
        <f>IFERROR(__xludf.DUMMYFUNCTION("""COMPUTED_VALUE""")," গাংনী")</f>
        <v> গাংনী</v>
      </c>
      <c r="K111" s="25" t="str">
        <f>IFERROR(__xludf.DUMMYFUNCTION("""COMPUTED_VALUE""")," মেহেরপুর""")</f>
        <v> মেহেরপুর"</v>
      </c>
    </row>
    <row r="112">
      <c r="A112" s="24" t="s">
        <v>2805</v>
      </c>
      <c r="B112" s="25">
        <f>IFERROR(__xludf.DUMMYFUNCTION("SPLIT(A112,"","")"),218.0)</f>
        <v>218</v>
      </c>
      <c r="C112" s="25" t="str">
        <f>IFERROR(__xludf.DUMMYFUNCTION("""COMPUTED_VALUE"""),"হামিদুর রহমান")</f>
        <v>হামিদুর রহমান</v>
      </c>
      <c r="D112" s="25">
        <f>IFERROR(__xludf.DUMMYFUNCTION("""COMPUTED_VALUE"""),5.70156378232E11)</f>
        <v>570156378232</v>
      </c>
      <c r="E112" s="25" t="str">
        <f>IFERROR(__xludf.DUMMYFUNCTION("""COMPUTED_VALUE"""),"কায়েমালী")</f>
        <v>কায়েমালী</v>
      </c>
      <c r="F112" s="25" t="str">
        <f>IFERROR(__xludf.DUMMYFUNCTION("""COMPUTED_VALUE"""),"মোছাঃ ছমেলা খাতুন")</f>
        <v>মোছাঃ ছমেলা খাতুন</v>
      </c>
      <c r="G112" s="25" t="str">
        <f>IFERROR(__xludf.DUMMYFUNCTION("""COMPUTED_VALUE"""),"২৩/০৯/১৯৬৪")</f>
        <v>২৩/০৯/১৯৬৪</v>
      </c>
      <c r="H112" s="25" t="str">
        <f>IFERROR(__xludf.DUMMYFUNCTION("""COMPUTED_VALUE"""),"কৃষক")</f>
        <v>কৃষক</v>
      </c>
      <c r="I112" s="25" t="str">
        <f>IFERROR(__xludf.DUMMYFUNCTION("""COMPUTED_VALUE"""),"""জালশুকা")</f>
        <v>"জালশুকা</v>
      </c>
      <c r="J112" s="25" t="str">
        <f>IFERROR(__xludf.DUMMYFUNCTION("""COMPUTED_VALUE""")," গাংনী")</f>
        <v> গাংনী</v>
      </c>
      <c r="K112" s="25" t="str">
        <f>IFERROR(__xludf.DUMMYFUNCTION("""COMPUTED_VALUE""")," মেহেরপুর""")</f>
        <v> মেহেরপুর"</v>
      </c>
    </row>
    <row r="113">
      <c r="A113" s="24" t="s">
        <v>2806</v>
      </c>
      <c r="B113" s="25">
        <f>IFERROR(__xludf.DUMMYFUNCTION("SPLIT(A113,"","")"),219.0)</f>
        <v>219</v>
      </c>
      <c r="C113" s="25" t="str">
        <f>IFERROR(__xludf.DUMMYFUNCTION("""COMPUTED_VALUE"""),"মোঃ মতিয়ার রহমান")</f>
        <v>মোঃ মতিয়ার রহমান</v>
      </c>
      <c r="D113" s="25">
        <f>IFERROR(__xludf.DUMMYFUNCTION("""COMPUTED_VALUE"""),5.70156378233E11)</f>
        <v>570156378233</v>
      </c>
      <c r="E113" s="25" t="str">
        <f>IFERROR(__xludf.DUMMYFUNCTION("""COMPUTED_VALUE"""),"মোঃ আঃ আজিজ")</f>
        <v>মোঃ আঃ আজিজ</v>
      </c>
      <c r="F113" s="25" t="str">
        <f>IFERROR(__xludf.DUMMYFUNCTION("""COMPUTED_VALUE"""),"মোছাঃ মনোয়ারা খাতুন")</f>
        <v>মোছাঃ মনোয়ারা খাতুন</v>
      </c>
      <c r="G113" s="25" t="str">
        <f>IFERROR(__xludf.DUMMYFUNCTION("""COMPUTED_VALUE"""),"০৯/০৫/১৯৭৪")</f>
        <v>০৯/০৫/১৯৭৪</v>
      </c>
      <c r="H113" s="25" t="str">
        <f>IFERROR(__xludf.DUMMYFUNCTION("""COMPUTED_VALUE"""),"কৃষক")</f>
        <v>কৃষক</v>
      </c>
      <c r="I113" s="25" t="str">
        <f>IFERROR(__xludf.DUMMYFUNCTION("""COMPUTED_VALUE"""),"""জালশুকা")</f>
        <v>"জালশুকা</v>
      </c>
      <c r="J113" s="25" t="str">
        <f>IFERROR(__xludf.DUMMYFUNCTION("""COMPUTED_VALUE""")," গাংনী")</f>
        <v> গাংনী</v>
      </c>
      <c r="K113" s="25" t="str">
        <f>IFERROR(__xludf.DUMMYFUNCTION("""COMPUTED_VALUE""")," মেহেরপুর""")</f>
        <v> মেহেরপুর"</v>
      </c>
    </row>
    <row r="114">
      <c r="A114" s="24" t="s">
        <v>2807</v>
      </c>
      <c r="B114" s="25">
        <f>IFERROR(__xludf.DUMMYFUNCTION("SPLIT(A114,"","")"),220.0)</f>
        <v>220</v>
      </c>
      <c r="C114" s="25" t="str">
        <f>IFERROR(__xludf.DUMMYFUNCTION("""COMPUTED_VALUE"""),"মোঃ আঃ ওহাব")</f>
        <v>মোঃ আঃ ওহাব</v>
      </c>
      <c r="D114" s="25">
        <f>IFERROR(__xludf.DUMMYFUNCTION("""COMPUTED_VALUE"""),5.70156378234E11)</f>
        <v>570156378234</v>
      </c>
      <c r="E114" s="25" t="str">
        <f>IFERROR(__xludf.DUMMYFUNCTION("""COMPUTED_VALUE"""),"মফেজদ্দিন")</f>
        <v>মফেজদ্দিন</v>
      </c>
      <c r="F114" s="25" t="str">
        <f>IFERROR(__xludf.DUMMYFUNCTION("""COMPUTED_VALUE"""),"মোছাঃ রাহেলা খাতুন")</f>
        <v>মোছাঃ রাহেলা খাতুন</v>
      </c>
      <c r="G114" s="25" t="str">
        <f>IFERROR(__xludf.DUMMYFUNCTION("""COMPUTED_VALUE"""),"১০/০৭/১৯৭২")</f>
        <v>১০/০৭/১৯৭২</v>
      </c>
      <c r="H114" s="25" t="str">
        <f>IFERROR(__xludf.DUMMYFUNCTION("""COMPUTED_VALUE"""),"কৃষক")</f>
        <v>কৃষক</v>
      </c>
      <c r="I114" s="25" t="str">
        <f>IFERROR(__xludf.DUMMYFUNCTION("""COMPUTED_VALUE"""),"""জালশুকা")</f>
        <v>"জালশুকা</v>
      </c>
      <c r="J114" s="25" t="str">
        <f>IFERROR(__xludf.DUMMYFUNCTION("""COMPUTED_VALUE""")," গাংনী")</f>
        <v> গাংনী</v>
      </c>
      <c r="K114" s="25" t="str">
        <f>IFERROR(__xludf.DUMMYFUNCTION("""COMPUTED_VALUE""")," মেহেরপুর""")</f>
        <v> মেহেরপুর"</v>
      </c>
    </row>
    <row r="115">
      <c r="A115" s="24" t="s">
        <v>2808</v>
      </c>
      <c r="B115" s="25">
        <f>IFERROR(__xludf.DUMMYFUNCTION("SPLIT(A115,"","")"),221.0)</f>
        <v>221</v>
      </c>
      <c r="C115" s="25" t="str">
        <f>IFERROR(__xludf.DUMMYFUNCTION("""COMPUTED_VALUE"""),"মোঃ খাইরুল ইসলাম")</f>
        <v>মোঃ খাইরুল ইসলাম</v>
      </c>
      <c r="D115" s="25">
        <f>IFERROR(__xludf.DUMMYFUNCTION("""COMPUTED_VALUE"""),5.70156378236E11)</f>
        <v>570156378236</v>
      </c>
      <c r="E115" s="25" t="str">
        <f>IFERROR(__xludf.DUMMYFUNCTION("""COMPUTED_VALUE"""),"মোঃ ফজল উদ্দীন")</f>
        <v>মোঃ ফজল উদ্দীন</v>
      </c>
      <c r="F115" s="25" t="str">
        <f>IFERROR(__xludf.DUMMYFUNCTION("""COMPUTED_VALUE"""),"মোছাঃ আনোয়ারা খাতুন")</f>
        <v>মোছাঃ আনোয়ারা খাতুন</v>
      </c>
      <c r="G115" s="25" t="str">
        <f>IFERROR(__xludf.DUMMYFUNCTION("""COMPUTED_VALUE"""),"০১/০৪/১৯৭০")</f>
        <v>০১/০৪/১৯৭০</v>
      </c>
      <c r="H115" s="25" t="str">
        <f>IFERROR(__xludf.DUMMYFUNCTION("""COMPUTED_VALUE"""),"কৃষক")</f>
        <v>কৃষক</v>
      </c>
      <c r="I115" s="25" t="str">
        <f>IFERROR(__xludf.DUMMYFUNCTION("""COMPUTED_VALUE"""),"""জালশুকা")</f>
        <v>"জালশুকা</v>
      </c>
      <c r="J115" s="25" t="str">
        <f>IFERROR(__xludf.DUMMYFUNCTION("""COMPUTED_VALUE""")," গাংনী")</f>
        <v> গাংনী</v>
      </c>
      <c r="K115" s="25" t="str">
        <f>IFERROR(__xludf.DUMMYFUNCTION("""COMPUTED_VALUE""")," মেহেরপুর""")</f>
        <v> মেহেরপুর"</v>
      </c>
    </row>
    <row r="116">
      <c r="A116" s="24" t="s">
        <v>2809</v>
      </c>
      <c r="B116" s="25">
        <f>IFERROR(__xludf.DUMMYFUNCTION("SPLIT(A116,"","")"),222.0)</f>
        <v>222</v>
      </c>
      <c r="C116" s="25" t="str">
        <f>IFERROR(__xludf.DUMMYFUNCTION("""COMPUTED_VALUE"""),"মোঃ বিল্লাল হোসেন")</f>
        <v>মোঃ বিল্লাল হোসেন</v>
      </c>
      <c r="D116" s="25">
        <f>IFERROR(__xludf.DUMMYFUNCTION("""COMPUTED_VALUE"""),5.70156378237E11)</f>
        <v>570156378237</v>
      </c>
      <c r="E116" s="25" t="str">
        <f>IFERROR(__xludf.DUMMYFUNCTION("""COMPUTED_VALUE"""),"শওকত আলী")</f>
        <v>শওকত আলী</v>
      </c>
      <c r="F116" s="25" t="str">
        <f>IFERROR(__xludf.DUMMYFUNCTION("""COMPUTED_VALUE"""),"রমেলা খাতুন")</f>
        <v>রমেলা খাতুন</v>
      </c>
      <c r="G116" s="25" t="str">
        <f>IFERROR(__xludf.DUMMYFUNCTION("""COMPUTED_VALUE"""),"০৯/০৯/১৯৭২")</f>
        <v>০৯/০৯/১৯৭২</v>
      </c>
      <c r="H116" s="25" t="str">
        <f>IFERROR(__xludf.DUMMYFUNCTION("""COMPUTED_VALUE"""),"কৃষক")</f>
        <v>কৃষক</v>
      </c>
      <c r="I116" s="25" t="str">
        <f>IFERROR(__xludf.DUMMYFUNCTION("""COMPUTED_VALUE"""),"""জালশুকা")</f>
        <v>"জালশুকা</v>
      </c>
      <c r="J116" s="25" t="str">
        <f>IFERROR(__xludf.DUMMYFUNCTION("""COMPUTED_VALUE""")," গাংনী")</f>
        <v> গাংনী</v>
      </c>
      <c r="K116" s="25" t="str">
        <f>IFERROR(__xludf.DUMMYFUNCTION("""COMPUTED_VALUE""")," মেহেরপুর""")</f>
        <v> মেহেরপুর"</v>
      </c>
    </row>
    <row r="117">
      <c r="A117" s="24" t="s">
        <v>2810</v>
      </c>
      <c r="B117" s="25">
        <f>IFERROR(__xludf.DUMMYFUNCTION("SPLIT(A117,"","")"),223.0)</f>
        <v>223</v>
      </c>
      <c r="C117" s="25" t="str">
        <f>IFERROR(__xludf.DUMMYFUNCTION("""COMPUTED_VALUE"""),"মোঃ কুতুব উদ্দীন")</f>
        <v>মোঃ কুতুব উদ্দীন</v>
      </c>
      <c r="D117" s="25">
        <f>IFERROR(__xludf.DUMMYFUNCTION("""COMPUTED_VALUE"""),5.70156378239E11)</f>
        <v>570156378239</v>
      </c>
      <c r="E117" s="25" t="str">
        <f>IFERROR(__xludf.DUMMYFUNCTION("""COMPUTED_VALUE"""),"ছিয়ামদ্দিন")</f>
        <v>ছিয়ামদ্দিন</v>
      </c>
      <c r="F117" s="25" t="str">
        <f>IFERROR(__xludf.DUMMYFUNCTION("""COMPUTED_VALUE"""),"মোছাঃ নিহারন নেছা")</f>
        <v>মোছাঃ নিহারন নেছা</v>
      </c>
      <c r="G117" s="25" t="str">
        <f>IFERROR(__xludf.DUMMYFUNCTION("""COMPUTED_VALUE"""),"০১/০৪/১৯৭১")</f>
        <v>০১/০৪/১৯৭১</v>
      </c>
      <c r="H117" s="25" t="str">
        <f>IFERROR(__xludf.DUMMYFUNCTION("""COMPUTED_VALUE"""),"কৃষক")</f>
        <v>কৃষক</v>
      </c>
      <c r="I117" s="25" t="str">
        <f>IFERROR(__xludf.DUMMYFUNCTION("""COMPUTED_VALUE"""),"""জালশুকা")</f>
        <v>"জালশুকা</v>
      </c>
      <c r="J117" s="25" t="str">
        <f>IFERROR(__xludf.DUMMYFUNCTION("""COMPUTED_VALUE""")," গাংনী")</f>
        <v> গাংনী</v>
      </c>
      <c r="K117" s="25" t="str">
        <f>IFERROR(__xludf.DUMMYFUNCTION("""COMPUTED_VALUE""")," মেহেরপুর""")</f>
        <v> মেহেরপুর"</v>
      </c>
    </row>
    <row r="118">
      <c r="A118" s="24" t="s">
        <v>2811</v>
      </c>
      <c r="B118" s="25">
        <f>IFERROR(__xludf.DUMMYFUNCTION("SPLIT(A118,"","")"),224.0)</f>
        <v>224</v>
      </c>
      <c r="C118" s="25" t="str">
        <f>IFERROR(__xludf.DUMMYFUNCTION("""COMPUTED_VALUE"""),"মোঃ ছলেমান মন্ডল")</f>
        <v>মোঃ ছলেমান মন্ডল</v>
      </c>
      <c r="D118" s="25">
        <f>IFERROR(__xludf.DUMMYFUNCTION("""COMPUTED_VALUE"""),5.7015637824E11)</f>
        <v>570156378240</v>
      </c>
      <c r="E118" s="25" t="str">
        <f>IFERROR(__xludf.DUMMYFUNCTION("""COMPUTED_VALUE"""),"তৈইজদ্দিন")</f>
        <v>তৈইজদ্দিন</v>
      </c>
      <c r="F118" s="25" t="str">
        <f>IFERROR(__xludf.DUMMYFUNCTION("""COMPUTED_VALUE"""),"মোছাঃ সালেহার")</f>
        <v>মোছাঃ সালেহার</v>
      </c>
      <c r="G118" s="25" t="str">
        <f>IFERROR(__xludf.DUMMYFUNCTION("""COMPUTED_VALUE"""),"২৯/০৬/১৯৩৭")</f>
        <v>২৯/০৬/১৯৩৭</v>
      </c>
      <c r="H118" s="25" t="str">
        <f>IFERROR(__xludf.DUMMYFUNCTION("""COMPUTED_VALUE"""),"কৃষক")</f>
        <v>কৃষক</v>
      </c>
      <c r="I118" s="25" t="str">
        <f>IFERROR(__xludf.DUMMYFUNCTION("""COMPUTED_VALUE"""),"""জালশুকা")</f>
        <v>"জালশুকা</v>
      </c>
      <c r="J118" s="25" t="str">
        <f>IFERROR(__xludf.DUMMYFUNCTION("""COMPUTED_VALUE""")," গাংনী")</f>
        <v> গাংনী</v>
      </c>
      <c r="K118" s="25" t="str">
        <f>IFERROR(__xludf.DUMMYFUNCTION("""COMPUTED_VALUE""")," মেহেরপুর""")</f>
        <v> মেহেরপুর"</v>
      </c>
    </row>
    <row r="119">
      <c r="A119" s="24" t="s">
        <v>2812</v>
      </c>
      <c r="B119" s="25">
        <f>IFERROR(__xludf.DUMMYFUNCTION("SPLIT(A119,"","")"),225.0)</f>
        <v>225</v>
      </c>
      <c r="C119" s="25" t="str">
        <f>IFERROR(__xludf.DUMMYFUNCTION("""COMPUTED_VALUE"""),"মোঃ জামাত আলী")</f>
        <v>মোঃ জামাত আলী</v>
      </c>
      <c r="D119" s="25">
        <f>IFERROR(__xludf.DUMMYFUNCTION("""COMPUTED_VALUE"""),5.70156378242E11)</f>
        <v>570156378242</v>
      </c>
      <c r="E119" s="25" t="str">
        <f>IFERROR(__xludf.DUMMYFUNCTION("""COMPUTED_VALUE"""),"মোঃ কোরবান মোল্লা")</f>
        <v>মোঃ কোরবান মোল্লা</v>
      </c>
      <c r="F119" s="25" t="str">
        <f>IFERROR(__xludf.DUMMYFUNCTION("""COMPUTED_VALUE"""),"মোছাঃ হামিদা")</f>
        <v>মোছাঃ হামিদা</v>
      </c>
      <c r="G119" s="25" t="str">
        <f>IFERROR(__xludf.DUMMYFUNCTION("""COMPUTED_VALUE"""),"০১/০১/১৯৮০")</f>
        <v>০১/০১/১৯৮০</v>
      </c>
      <c r="H119" s="25" t="str">
        <f>IFERROR(__xludf.DUMMYFUNCTION("""COMPUTED_VALUE"""),"কৃষক")</f>
        <v>কৃষক</v>
      </c>
      <c r="I119" s="25" t="str">
        <f>IFERROR(__xludf.DUMMYFUNCTION("""COMPUTED_VALUE"""),"""জালশুকা")</f>
        <v>"জালশুকা</v>
      </c>
      <c r="J119" s="25" t="str">
        <f>IFERROR(__xludf.DUMMYFUNCTION("""COMPUTED_VALUE""")," গাংনী")</f>
        <v> গাংনী</v>
      </c>
      <c r="K119" s="25" t="str">
        <f>IFERROR(__xludf.DUMMYFUNCTION("""COMPUTED_VALUE""")," মেহেরপুর""")</f>
        <v> মেহেরপুর"</v>
      </c>
    </row>
    <row r="120">
      <c r="A120" s="24" t="s">
        <v>2813</v>
      </c>
      <c r="B120" s="25">
        <f>IFERROR(__xludf.DUMMYFUNCTION("SPLIT(A120,"","")"),226.0)</f>
        <v>226</v>
      </c>
      <c r="C120" s="25" t="str">
        <f>IFERROR(__xludf.DUMMYFUNCTION("""COMPUTED_VALUE"""),"মোঃ শাবান আলী")</f>
        <v>মোঃ শাবান আলী</v>
      </c>
      <c r="D120" s="25">
        <f>IFERROR(__xludf.DUMMYFUNCTION("""COMPUTED_VALUE"""),5.70156378244E11)</f>
        <v>570156378244</v>
      </c>
      <c r="E120" s="25" t="str">
        <f>IFERROR(__xludf.DUMMYFUNCTION("""COMPUTED_VALUE"""),"মোঃ ফজলুল হক")</f>
        <v>মোঃ ফজলুল হক</v>
      </c>
      <c r="F120" s="25" t="str">
        <f>IFERROR(__xludf.DUMMYFUNCTION("""COMPUTED_VALUE"""),"মোছাঃ ফরিদা খাতুন")</f>
        <v>মোছাঃ ফরিদা খাতুন</v>
      </c>
      <c r="G120" s="25" t="str">
        <f>IFERROR(__xludf.DUMMYFUNCTION("""COMPUTED_VALUE"""),"১০/০৯/১৯৭২")</f>
        <v>১০/০৯/১৯৭২</v>
      </c>
      <c r="H120" s="25" t="str">
        <f>IFERROR(__xludf.DUMMYFUNCTION("""COMPUTED_VALUE"""),"কৃষক")</f>
        <v>কৃষক</v>
      </c>
      <c r="I120" s="25" t="str">
        <f>IFERROR(__xludf.DUMMYFUNCTION("""COMPUTED_VALUE"""),"""জালশুকা")</f>
        <v>"জালশুকা</v>
      </c>
      <c r="J120" s="25" t="str">
        <f>IFERROR(__xludf.DUMMYFUNCTION("""COMPUTED_VALUE""")," গাংনী")</f>
        <v> গাংনী</v>
      </c>
      <c r="K120" s="25" t="str">
        <f>IFERROR(__xludf.DUMMYFUNCTION("""COMPUTED_VALUE""")," মেহেরপুর""")</f>
        <v> মেহেরপুর"</v>
      </c>
    </row>
    <row r="121">
      <c r="A121" s="24" t="s">
        <v>2814</v>
      </c>
      <c r="B121" s="25">
        <f>IFERROR(__xludf.DUMMYFUNCTION("SPLIT(A121,"","")"),227.0)</f>
        <v>227</v>
      </c>
      <c r="C121" s="25" t="str">
        <f>IFERROR(__xludf.DUMMYFUNCTION("""COMPUTED_VALUE"""),"মোঃ আলেক চাঁদ")</f>
        <v>মোঃ আলেক চাঁদ</v>
      </c>
      <c r="D121" s="25">
        <f>IFERROR(__xludf.DUMMYFUNCTION("""COMPUTED_VALUE"""),5.70156378245E11)</f>
        <v>570156378245</v>
      </c>
      <c r="E121" s="25" t="str">
        <f>IFERROR(__xludf.DUMMYFUNCTION("""COMPUTED_VALUE"""),"ইয়াকুব বিশ্বাস")</f>
        <v>ইয়াকুব বিশ্বাস</v>
      </c>
      <c r="F121" s="25" t="str">
        <f>IFERROR(__xludf.DUMMYFUNCTION("""COMPUTED_VALUE"""),"মোছাঃ খাতেজান")</f>
        <v>মোছাঃ খাতেজান</v>
      </c>
      <c r="G121" s="25" t="str">
        <f>IFERROR(__xludf.DUMMYFUNCTION("""COMPUTED_VALUE"""),"০১/০১/১৯৬১")</f>
        <v>০১/০১/১৯৬১</v>
      </c>
      <c r="H121" s="25" t="str">
        <f>IFERROR(__xludf.DUMMYFUNCTION("""COMPUTED_VALUE"""),"কৃষক")</f>
        <v>কৃষক</v>
      </c>
      <c r="I121" s="25" t="str">
        <f>IFERROR(__xludf.DUMMYFUNCTION("""COMPUTED_VALUE"""),"""জালশুকা")</f>
        <v>"জালশুকা</v>
      </c>
      <c r="J121" s="25" t="str">
        <f>IFERROR(__xludf.DUMMYFUNCTION("""COMPUTED_VALUE""")," গাংনী")</f>
        <v> গাংনী</v>
      </c>
      <c r="K121" s="25" t="str">
        <f>IFERROR(__xludf.DUMMYFUNCTION("""COMPUTED_VALUE""")," মেহেরপুর""")</f>
        <v> মেহেরপুর"</v>
      </c>
    </row>
    <row r="122">
      <c r="A122" s="24" t="s">
        <v>2815</v>
      </c>
      <c r="B122" s="25">
        <f>IFERROR(__xludf.DUMMYFUNCTION("SPLIT(A122,"","")"),228.0)</f>
        <v>228</v>
      </c>
      <c r="C122" s="25" t="str">
        <f>IFERROR(__xludf.DUMMYFUNCTION("""COMPUTED_VALUE"""),"মোঃ সেন্টু মিয়া")</f>
        <v>মোঃ সেন্টু মিয়া</v>
      </c>
      <c r="D122" s="25">
        <f>IFERROR(__xludf.DUMMYFUNCTION("""COMPUTED_VALUE"""),5.70156378246E11)</f>
        <v>570156378246</v>
      </c>
      <c r="E122" s="25" t="str">
        <f>IFERROR(__xludf.DUMMYFUNCTION("""COMPUTED_VALUE"""),"মোঃ ছিতাপ আলী")</f>
        <v>মোঃ ছিতাপ আলী</v>
      </c>
      <c r="F122" s="25" t="str">
        <f>IFERROR(__xludf.DUMMYFUNCTION("""COMPUTED_VALUE"""),"মোছাঃ কহিনুর")</f>
        <v>মোছাঃ কহিনুর</v>
      </c>
      <c r="G122" s="25" t="str">
        <f>IFERROR(__xludf.DUMMYFUNCTION("""COMPUTED_VALUE"""),"১০/০২/১৯৮৬")</f>
        <v>১০/০২/১৯৮৬</v>
      </c>
      <c r="H122" s="25" t="str">
        <f>IFERROR(__xludf.DUMMYFUNCTION("""COMPUTED_VALUE"""),"কৃষক")</f>
        <v>কৃষক</v>
      </c>
      <c r="I122" s="25" t="str">
        <f>IFERROR(__xludf.DUMMYFUNCTION("""COMPUTED_VALUE"""),"""জালশুকা")</f>
        <v>"জালশুকা</v>
      </c>
      <c r="J122" s="25" t="str">
        <f>IFERROR(__xludf.DUMMYFUNCTION("""COMPUTED_VALUE""")," গাংনী")</f>
        <v> গাংনী</v>
      </c>
      <c r="K122" s="25" t="str">
        <f>IFERROR(__xludf.DUMMYFUNCTION("""COMPUTED_VALUE""")," মেহেরপুর""")</f>
        <v> মেহেরপুর"</v>
      </c>
    </row>
    <row r="123">
      <c r="A123" s="24" t="s">
        <v>2816</v>
      </c>
      <c r="B123" s="25">
        <f>IFERROR(__xludf.DUMMYFUNCTION("SPLIT(A123,"","")"),229.0)</f>
        <v>229</v>
      </c>
      <c r="C123" s="25" t="str">
        <f>IFERROR(__xludf.DUMMYFUNCTION("""COMPUTED_VALUE"""),"মোঃ বিশারত আলী")</f>
        <v>মোঃ বিশারত আলী</v>
      </c>
      <c r="D123" s="25">
        <f>IFERROR(__xludf.DUMMYFUNCTION("""COMPUTED_VALUE"""),5.70156378249E11)</f>
        <v>570156378249</v>
      </c>
      <c r="E123" s="25" t="str">
        <f>IFERROR(__xludf.DUMMYFUNCTION("""COMPUTED_VALUE"""),"মোঃ আস্তাব আলি")</f>
        <v>মোঃ আস্তাব আলি</v>
      </c>
      <c r="F123" s="25" t="str">
        <f>IFERROR(__xludf.DUMMYFUNCTION("""COMPUTED_VALUE"""),"মোছাঃ গুলসানারা")</f>
        <v>মোছাঃ গুলসানারা</v>
      </c>
      <c r="G123" s="25" t="str">
        <f>IFERROR(__xludf.DUMMYFUNCTION("""COMPUTED_VALUE"""),"০১/০১/১৯৮৩")</f>
        <v>০১/০১/১৯৮৩</v>
      </c>
      <c r="H123" s="25" t="str">
        <f>IFERROR(__xludf.DUMMYFUNCTION("""COMPUTED_VALUE"""),"কৃষক")</f>
        <v>কৃষক</v>
      </c>
      <c r="I123" s="25" t="str">
        <f>IFERROR(__xludf.DUMMYFUNCTION("""COMPUTED_VALUE"""),"""জালশুকা")</f>
        <v>"জালশুকা</v>
      </c>
      <c r="J123" s="25" t="str">
        <f>IFERROR(__xludf.DUMMYFUNCTION("""COMPUTED_VALUE""")," গাংনী")</f>
        <v> গাংনী</v>
      </c>
      <c r="K123" s="25" t="str">
        <f>IFERROR(__xludf.DUMMYFUNCTION("""COMPUTED_VALUE""")," মেহেরপুর""")</f>
        <v> মেহেরপুর"</v>
      </c>
    </row>
    <row r="124">
      <c r="A124" s="24" t="s">
        <v>2817</v>
      </c>
      <c r="B124" s="25">
        <f>IFERROR(__xludf.DUMMYFUNCTION("SPLIT(A124,"","")"),230.0)</f>
        <v>230</v>
      </c>
      <c r="C124" s="25" t="str">
        <f>IFERROR(__xludf.DUMMYFUNCTION("""COMPUTED_VALUE"""),"মোঃ ওসমান আলী")</f>
        <v>মোঃ ওসমান আলী</v>
      </c>
      <c r="D124" s="25">
        <f>IFERROR(__xludf.DUMMYFUNCTION("""COMPUTED_VALUE"""),5.7015637825E11)</f>
        <v>570156378250</v>
      </c>
      <c r="E124" s="25" t="str">
        <f>IFERROR(__xludf.DUMMYFUNCTION("""COMPUTED_VALUE"""),"মোঃ উমিদ আলী")</f>
        <v>মোঃ উমিদ আলী</v>
      </c>
      <c r="F124" s="25" t="str">
        <f>IFERROR(__xludf.DUMMYFUNCTION("""COMPUTED_VALUE"""),"মোছাঃ বেদানা খাতুন")</f>
        <v>মোছাঃ বেদানা খাতুন</v>
      </c>
      <c r="G124" s="25" t="str">
        <f>IFERROR(__xludf.DUMMYFUNCTION("""COMPUTED_VALUE"""),"০১/০১/১৯৮৫")</f>
        <v>০১/০১/১৯৮৫</v>
      </c>
      <c r="H124" s="25" t="str">
        <f>IFERROR(__xludf.DUMMYFUNCTION("""COMPUTED_VALUE"""),"ব্যবসা")</f>
        <v>ব্যবসা</v>
      </c>
      <c r="I124" s="25" t="str">
        <f>IFERROR(__xludf.DUMMYFUNCTION("""COMPUTED_VALUE"""),"""জালশুকা")</f>
        <v>"জালশুকা</v>
      </c>
      <c r="J124" s="25" t="str">
        <f>IFERROR(__xludf.DUMMYFUNCTION("""COMPUTED_VALUE""")," গাংনী")</f>
        <v> গাংনী</v>
      </c>
      <c r="K124" s="25" t="str">
        <f>IFERROR(__xludf.DUMMYFUNCTION("""COMPUTED_VALUE""")," মেহেরপুর""")</f>
        <v> মেহেরপুর"</v>
      </c>
    </row>
    <row r="125">
      <c r="A125" s="24" t="s">
        <v>2818</v>
      </c>
      <c r="B125" s="25">
        <f>IFERROR(__xludf.DUMMYFUNCTION("SPLIT(A125,"","")"),231.0)</f>
        <v>231</v>
      </c>
      <c r="C125" s="25" t="str">
        <f>IFERROR(__xludf.DUMMYFUNCTION("""COMPUTED_VALUE"""),"মোঃ আয়ুব আলী")</f>
        <v>মোঃ আয়ুব আলী</v>
      </c>
      <c r="D125" s="25">
        <f>IFERROR(__xludf.DUMMYFUNCTION("""COMPUTED_VALUE"""),5.70156378251E11)</f>
        <v>570156378251</v>
      </c>
      <c r="E125" s="25" t="str">
        <f>IFERROR(__xludf.DUMMYFUNCTION("""COMPUTED_VALUE"""),"ছাবদাল বিশ্বাস")</f>
        <v>ছাবদাল বিশ্বাস</v>
      </c>
      <c r="F125" s="25" t="str">
        <f>IFERROR(__xludf.DUMMYFUNCTION("""COMPUTED_VALUE"""),"মোছাঃ রাহেলা খাতুন")</f>
        <v>মোছাঃ রাহেলা খাতুন</v>
      </c>
      <c r="G125" s="25" t="str">
        <f>IFERROR(__xludf.DUMMYFUNCTION("""COMPUTED_VALUE"""),"৩০/০৪/১৯৬২")</f>
        <v>৩০/০৪/১৯৬২</v>
      </c>
      <c r="H125" s="25" t="str">
        <f>IFERROR(__xludf.DUMMYFUNCTION("""COMPUTED_VALUE"""),"কৃষক")</f>
        <v>কৃষক</v>
      </c>
      <c r="I125" s="25" t="str">
        <f>IFERROR(__xludf.DUMMYFUNCTION("""COMPUTED_VALUE"""),"""জালশুকা মসজিদ পাড়া")</f>
        <v>"জালশুকা মসজিদ পাড়া</v>
      </c>
      <c r="J125" s="25" t="str">
        <f>IFERROR(__xludf.DUMMYFUNCTION("""COMPUTED_VALUE""")," গাংনী")</f>
        <v> গাংনী</v>
      </c>
      <c r="K125" s="25" t="str">
        <f>IFERROR(__xludf.DUMMYFUNCTION("""COMPUTED_VALUE""")," মেহেরপুর""")</f>
        <v> মেহেরপুর"</v>
      </c>
    </row>
    <row r="126">
      <c r="A126" s="24" t="s">
        <v>2819</v>
      </c>
      <c r="B126" s="25">
        <f>IFERROR(__xludf.DUMMYFUNCTION("SPLIT(A126,"","")"),232.0)</f>
        <v>232</v>
      </c>
      <c r="C126" s="25" t="str">
        <f>IFERROR(__xludf.DUMMYFUNCTION("""COMPUTED_VALUE"""),"মোঃ আব্দুস সাত্তার")</f>
        <v>মোঃ আব্দুস সাত্তার</v>
      </c>
      <c r="D126" s="25">
        <f>IFERROR(__xludf.DUMMYFUNCTION("""COMPUTED_VALUE"""),5.70156378255E11)</f>
        <v>570156378255</v>
      </c>
      <c r="E126" s="25" t="str">
        <f>IFERROR(__xludf.DUMMYFUNCTION("""COMPUTED_VALUE"""),"মোঃ ছমিরদ্দিন")</f>
        <v>মোঃ ছমিরদ্দিন</v>
      </c>
      <c r="F126" s="25" t="str">
        <f>IFERROR(__xludf.DUMMYFUNCTION("""COMPUTED_VALUE"""),"মোছাঃ সবজান")</f>
        <v>মোছাঃ সবজান</v>
      </c>
      <c r="G126" s="25" t="str">
        <f>IFERROR(__xludf.DUMMYFUNCTION("""COMPUTED_VALUE"""),"৩০/০৫/১৯৭৫")</f>
        <v>৩০/০৫/১৯৭৫</v>
      </c>
      <c r="H126" s="25" t="str">
        <f>IFERROR(__xludf.DUMMYFUNCTION("""COMPUTED_VALUE"""),"কৃষক")</f>
        <v>কৃষক</v>
      </c>
      <c r="I126" s="25" t="str">
        <f>IFERROR(__xludf.DUMMYFUNCTION("""COMPUTED_VALUE"""),"""জালশুকা")</f>
        <v>"জালশুকা</v>
      </c>
      <c r="J126" s="25" t="str">
        <f>IFERROR(__xludf.DUMMYFUNCTION("""COMPUTED_VALUE""")," গাংনী")</f>
        <v> গাংনী</v>
      </c>
      <c r="K126" s="25" t="str">
        <f>IFERROR(__xludf.DUMMYFUNCTION("""COMPUTED_VALUE""")," মেহেরপুর""")</f>
        <v> মেহেরপুর"</v>
      </c>
    </row>
    <row r="127">
      <c r="A127" s="24" t="s">
        <v>2820</v>
      </c>
      <c r="B127" s="25">
        <f>IFERROR(__xludf.DUMMYFUNCTION("SPLIT(A127,"","")"),233.0)</f>
        <v>233</v>
      </c>
      <c r="C127" s="25" t="str">
        <f>IFERROR(__xludf.DUMMYFUNCTION("""COMPUTED_VALUE"""),"মোঃ জহুরুল ইসলাম")</f>
        <v>মোঃ জহুরুল ইসলাম</v>
      </c>
      <c r="D127" s="25">
        <f>IFERROR(__xludf.DUMMYFUNCTION("""COMPUTED_VALUE"""),5.70156378257E11)</f>
        <v>570156378257</v>
      </c>
      <c r="E127" s="25" t="str">
        <f>IFERROR(__xludf.DUMMYFUNCTION("""COMPUTED_VALUE"""),"মোঃ জসিরুদ্দীন")</f>
        <v>মোঃ জসিরুদ্দীন</v>
      </c>
      <c r="F127" s="25" t="str">
        <f>IFERROR(__xludf.DUMMYFUNCTION("""COMPUTED_VALUE"""),"মোছাঃ হাজেরা বেগম")</f>
        <v>মোছাঃ হাজেরা বেগম</v>
      </c>
      <c r="G127" s="25" t="str">
        <f>IFERROR(__xludf.DUMMYFUNCTION("""COMPUTED_VALUE"""),"২৮/০৪/১৯৭৩")</f>
        <v>২৮/০৪/১৯৭৩</v>
      </c>
      <c r="H127" s="25" t="str">
        <f>IFERROR(__xludf.DUMMYFUNCTION("""COMPUTED_VALUE"""),"কৃষক")</f>
        <v>কৃষক</v>
      </c>
      <c r="I127" s="25" t="str">
        <f>IFERROR(__xludf.DUMMYFUNCTION("""COMPUTED_VALUE"""),"""জালশুকা")</f>
        <v>"জালশুকা</v>
      </c>
      <c r="J127" s="25" t="str">
        <f>IFERROR(__xludf.DUMMYFUNCTION("""COMPUTED_VALUE""")," গাংনী")</f>
        <v> গাংনী</v>
      </c>
      <c r="K127" s="25" t="str">
        <f>IFERROR(__xludf.DUMMYFUNCTION("""COMPUTED_VALUE""")," মেহেরপুর""")</f>
        <v> মেহেরপুর"</v>
      </c>
    </row>
    <row r="128">
      <c r="A128" s="24" t="s">
        <v>2821</v>
      </c>
      <c r="B128" s="25">
        <f>IFERROR(__xludf.DUMMYFUNCTION("SPLIT(A128,"","")"),234.0)</f>
        <v>234</v>
      </c>
      <c r="C128" s="25" t="str">
        <f>IFERROR(__xludf.DUMMYFUNCTION("""COMPUTED_VALUE"""),"মোঃ বিশারত আলী")</f>
        <v>মোঃ বিশারত আলী</v>
      </c>
      <c r="D128" s="25">
        <f>IFERROR(__xludf.DUMMYFUNCTION("""COMPUTED_VALUE"""),5.70156378258E11)</f>
        <v>570156378258</v>
      </c>
      <c r="E128" s="25" t="str">
        <f>IFERROR(__xludf.DUMMYFUNCTION("""COMPUTED_VALUE"""),"আঃ খালেক")</f>
        <v>আঃ খালেক</v>
      </c>
      <c r="F128" s="25" t="str">
        <f>IFERROR(__xludf.DUMMYFUNCTION("""COMPUTED_VALUE"""),"মোছাঃ সিয়াতন")</f>
        <v>মোছাঃ সিয়াতন</v>
      </c>
      <c r="G128" s="25" t="str">
        <f>IFERROR(__xludf.DUMMYFUNCTION("""COMPUTED_VALUE"""),"০৪/০৯/১৯৭৫")</f>
        <v>০৪/০৯/১৯৭৫</v>
      </c>
      <c r="H128" s="25" t="str">
        <f>IFERROR(__xludf.DUMMYFUNCTION("""COMPUTED_VALUE"""),"কৃষক")</f>
        <v>কৃষক</v>
      </c>
      <c r="I128" s="25" t="str">
        <f>IFERROR(__xludf.DUMMYFUNCTION("""COMPUTED_VALUE"""),"""জালশুকা")</f>
        <v>"জালশুকা</v>
      </c>
      <c r="J128" s="25" t="str">
        <f>IFERROR(__xludf.DUMMYFUNCTION("""COMPUTED_VALUE""")," গাংনী")</f>
        <v> গাংনী</v>
      </c>
      <c r="K128" s="25" t="str">
        <f>IFERROR(__xludf.DUMMYFUNCTION("""COMPUTED_VALUE""")," মেহেরপুর""")</f>
        <v> মেহেরপুর"</v>
      </c>
    </row>
    <row r="129">
      <c r="A129" s="24" t="s">
        <v>2822</v>
      </c>
      <c r="B129" s="25">
        <f>IFERROR(__xludf.DUMMYFUNCTION("SPLIT(A129,"","")"),235.0)</f>
        <v>235</v>
      </c>
      <c r="C129" s="25" t="str">
        <f>IFERROR(__xludf.DUMMYFUNCTION("""COMPUTED_VALUE"""),"মোঃ আশরাফুল ইসলাম")</f>
        <v>মোঃ আশরাফুল ইসলাম</v>
      </c>
      <c r="D129" s="25">
        <f>IFERROR(__xludf.DUMMYFUNCTION("""COMPUTED_VALUE"""),5.70156378261E11)</f>
        <v>570156378261</v>
      </c>
      <c r="E129" s="25" t="str">
        <f>IFERROR(__xludf.DUMMYFUNCTION("""COMPUTED_VALUE"""),"মোঃ আয়ুব আলী")</f>
        <v>মোঃ আয়ুব আলী</v>
      </c>
      <c r="F129" s="25" t="str">
        <f>IFERROR(__xludf.DUMMYFUNCTION("""COMPUTED_VALUE"""),"মোছাঃ মর্জিনা খাতুন")</f>
        <v>মোছাঃ মর্জিনা খাতুন</v>
      </c>
      <c r="G129" s="25" t="str">
        <f>IFERROR(__xludf.DUMMYFUNCTION("""COMPUTED_VALUE"""),"০৫/০১/১৯৮৪")</f>
        <v>০৫/০১/১৯৮৪</v>
      </c>
      <c r="H129" s="25" t="str">
        <f>IFERROR(__xludf.DUMMYFUNCTION("""COMPUTED_VALUE"""),"কৃষক")</f>
        <v>কৃষক</v>
      </c>
      <c r="I129" s="25" t="str">
        <f>IFERROR(__xludf.DUMMYFUNCTION("""COMPUTED_VALUE"""),"""জালশুকা মসজিদ পাড়া")</f>
        <v>"জালশুকা মসজিদ পাড়া</v>
      </c>
      <c r="J129" s="25" t="str">
        <f>IFERROR(__xludf.DUMMYFUNCTION("""COMPUTED_VALUE""")," গাংনী")</f>
        <v> গাংনী</v>
      </c>
      <c r="K129" s="25" t="str">
        <f>IFERROR(__xludf.DUMMYFUNCTION("""COMPUTED_VALUE""")," মেহেরপুর""")</f>
        <v> মেহেরপুর"</v>
      </c>
    </row>
    <row r="130">
      <c r="A130" s="24" t="s">
        <v>2823</v>
      </c>
      <c r="B130" s="25">
        <f>IFERROR(__xludf.DUMMYFUNCTION("SPLIT(A130,"","")"),236.0)</f>
        <v>236</v>
      </c>
      <c r="C130" s="25" t="str">
        <f>IFERROR(__xludf.DUMMYFUNCTION("""COMPUTED_VALUE"""),"মোঃ আক্তার আলী")</f>
        <v>মোঃ আক্তার আলী</v>
      </c>
      <c r="D130" s="25">
        <f>IFERROR(__xludf.DUMMYFUNCTION("""COMPUTED_VALUE"""),5.70156378262E11)</f>
        <v>570156378262</v>
      </c>
      <c r="E130" s="25" t="str">
        <f>IFERROR(__xludf.DUMMYFUNCTION("""COMPUTED_VALUE"""),"আকবার বিশ্বাস")</f>
        <v>আকবার বিশ্বাস</v>
      </c>
      <c r="F130" s="25" t="str">
        <f>IFERROR(__xludf.DUMMYFUNCTION("""COMPUTED_VALUE"""),"মোছাঃ খদেজা খাতুন")</f>
        <v>মোছাঃ খদেজা খাতুন</v>
      </c>
      <c r="G130" s="25" t="str">
        <f>IFERROR(__xludf.DUMMYFUNCTION("""COMPUTED_VALUE"""),"১৬/১১/১৯৮০")</f>
        <v>১৬/১১/১৯৮০</v>
      </c>
      <c r="H130" s="25" t="str">
        <f>IFERROR(__xludf.DUMMYFUNCTION("""COMPUTED_VALUE"""),"কৃষক")</f>
        <v>কৃষক</v>
      </c>
      <c r="I130" s="25" t="str">
        <f>IFERROR(__xludf.DUMMYFUNCTION("""COMPUTED_VALUE"""),"""জালশুকা মসজিদ পাড়া")</f>
        <v>"জালশুকা মসজিদ পাড়া</v>
      </c>
      <c r="J130" s="25" t="str">
        <f>IFERROR(__xludf.DUMMYFUNCTION("""COMPUTED_VALUE""")," গাংনী")</f>
        <v> গাংনী</v>
      </c>
      <c r="K130" s="25" t="str">
        <f>IFERROR(__xludf.DUMMYFUNCTION("""COMPUTED_VALUE""")," মেহেরপুর""")</f>
        <v> মেহেরপুর"</v>
      </c>
    </row>
    <row r="131">
      <c r="A131" s="24" t="s">
        <v>2824</v>
      </c>
      <c r="B131" s="25">
        <f>IFERROR(__xludf.DUMMYFUNCTION("SPLIT(A131,"","")"),237.0)</f>
        <v>237</v>
      </c>
      <c r="C131" s="25" t="str">
        <f>IFERROR(__xludf.DUMMYFUNCTION("""COMPUTED_VALUE"""),"মোঃ নবিরুদ্দীন")</f>
        <v>মোঃ নবিরুদ্দীন</v>
      </c>
      <c r="D131" s="25">
        <f>IFERROR(__xludf.DUMMYFUNCTION("""COMPUTED_VALUE"""),5.70156378263E11)</f>
        <v>570156378263</v>
      </c>
      <c r="E131" s="25" t="str">
        <f>IFERROR(__xludf.DUMMYFUNCTION("""COMPUTED_VALUE"""),"আঃ জলিল")</f>
        <v>আঃ জলিল</v>
      </c>
      <c r="F131" s="25" t="str">
        <f>IFERROR(__xludf.DUMMYFUNCTION("""COMPUTED_VALUE"""),"মোছাঃ রমেছা খাতুন")</f>
        <v>মোছাঃ রমেছা খাতুন</v>
      </c>
      <c r="G131" s="25" t="str">
        <f>IFERROR(__xludf.DUMMYFUNCTION("""COMPUTED_VALUE"""),"১২/০৮/১৯৪৭")</f>
        <v>১২/০৮/১৯৪৭</v>
      </c>
      <c r="H131" s="25" t="str">
        <f>IFERROR(__xludf.DUMMYFUNCTION("""COMPUTED_VALUE"""),"কৃষক")</f>
        <v>কৃষক</v>
      </c>
      <c r="I131" s="25" t="str">
        <f>IFERROR(__xludf.DUMMYFUNCTION("""COMPUTED_VALUE"""),"""জালশুকা")</f>
        <v>"জালশুকা</v>
      </c>
      <c r="J131" s="25" t="str">
        <f>IFERROR(__xludf.DUMMYFUNCTION("""COMPUTED_VALUE""")," গাংনী")</f>
        <v> গাংনী</v>
      </c>
      <c r="K131" s="25" t="str">
        <f>IFERROR(__xludf.DUMMYFUNCTION("""COMPUTED_VALUE""")," মেহেরপুর""")</f>
        <v> মেহেরপুর"</v>
      </c>
    </row>
    <row r="132">
      <c r="A132" s="24" t="s">
        <v>2825</v>
      </c>
      <c r="B132" s="25">
        <f>IFERROR(__xludf.DUMMYFUNCTION("SPLIT(A132,"","")"),238.0)</f>
        <v>238</v>
      </c>
      <c r="C132" s="25" t="str">
        <f>IFERROR(__xludf.DUMMYFUNCTION("""COMPUTED_VALUE"""),"মোঃ মিলন আলী")</f>
        <v>মোঃ মিলন আলী</v>
      </c>
      <c r="D132" s="25">
        <f>IFERROR(__xludf.DUMMYFUNCTION("""COMPUTED_VALUE"""),5.70156378264E11)</f>
        <v>570156378264</v>
      </c>
      <c r="E132" s="25" t="str">
        <f>IFERROR(__xludf.DUMMYFUNCTION("""COMPUTED_VALUE"""),"মোঃ আয়ুব আলী")</f>
        <v>মোঃ আয়ুব আলী</v>
      </c>
      <c r="F132" s="25" t="str">
        <f>IFERROR(__xludf.DUMMYFUNCTION("""COMPUTED_VALUE"""),"মোছাঃ মর্জিনা")</f>
        <v>মোছাঃ মর্জিনা</v>
      </c>
      <c r="G132" s="25" t="str">
        <f>IFERROR(__xludf.DUMMYFUNCTION("""COMPUTED_VALUE"""),"১৭/১২/১৯৮৮")</f>
        <v>১৭/১২/১৯৮৮</v>
      </c>
      <c r="H132" s="25" t="str">
        <f>IFERROR(__xludf.DUMMYFUNCTION("""COMPUTED_VALUE"""),"কৃষক")</f>
        <v>কৃষক</v>
      </c>
      <c r="I132" s="25" t="str">
        <f>IFERROR(__xludf.DUMMYFUNCTION("""COMPUTED_VALUE"""),"""জালশুকা")</f>
        <v>"জালশুকা</v>
      </c>
      <c r="J132" s="25" t="str">
        <f>IFERROR(__xludf.DUMMYFUNCTION("""COMPUTED_VALUE""")," গাংনী")</f>
        <v> গাংনী</v>
      </c>
      <c r="K132" s="25" t="str">
        <f>IFERROR(__xludf.DUMMYFUNCTION("""COMPUTED_VALUE""")," মেহেরপুর""")</f>
        <v> মেহেরপুর"</v>
      </c>
    </row>
    <row r="133">
      <c r="A133" s="24" t="s">
        <v>2826</v>
      </c>
      <c r="B133" s="25">
        <f>IFERROR(__xludf.DUMMYFUNCTION("SPLIT(A133,"","")"),239.0)</f>
        <v>239</v>
      </c>
      <c r="C133" s="25" t="str">
        <f>IFERROR(__xludf.DUMMYFUNCTION("""COMPUTED_VALUE"""),"মোঃ শুকুর আলী")</f>
        <v>মোঃ শুকুর আলী</v>
      </c>
      <c r="D133" s="25">
        <f>IFERROR(__xludf.DUMMYFUNCTION("""COMPUTED_VALUE"""),5.70156378269E11)</f>
        <v>570156378269</v>
      </c>
      <c r="E133" s="25" t="str">
        <f>IFERROR(__xludf.DUMMYFUNCTION("""COMPUTED_VALUE"""),"খবিরুদ্দীন")</f>
        <v>খবিরুদ্দীন</v>
      </c>
      <c r="F133" s="25" t="str">
        <f>IFERROR(__xludf.DUMMYFUNCTION("""COMPUTED_VALUE"""),"আমিনা খাতুন")</f>
        <v>আমিনা খাতুন</v>
      </c>
      <c r="G133" s="25" t="str">
        <f>IFERROR(__xludf.DUMMYFUNCTION("""COMPUTED_VALUE"""),"১৯/১২/১৯৫০")</f>
        <v>১৯/১২/১৯৫০</v>
      </c>
      <c r="H133" s="25" t="str">
        <f>IFERROR(__xludf.DUMMYFUNCTION("""COMPUTED_VALUE"""),"কৃষক")</f>
        <v>কৃষক</v>
      </c>
      <c r="I133" s="25" t="str">
        <f>IFERROR(__xludf.DUMMYFUNCTION("""COMPUTED_VALUE"""),"""জালশুকা মসজিদপাড়া")</f>
        <v>"জালশুকা মসজিদপাড়া</v>
      </c>
      <c r="J133" s="25" t="str">
        <f>IFERROR(__xludf.DUMMYFUNCTION("""COMPUTED_VALUE""")," গাংনী")</f>
        <v> গাংনী</v>
      </c>
      <c r="K133" s="25" t="str">
        <f>IFERROR(__xludf.DUMMYFUNCTION("""COMPUTED_VALUE""")," মেহেরপুর""")</f>
        <v> মেহেরপুর"</v>
      </c>
    </row>
    <row r="134">
      <c r="A134" s="24" t="s">
        <v>2827</v>
      </c>
      <c r="B134" s="25">
        <f>IFERROR(__xludf.DUMMYFUNCTION("SPLIT(A134,"","")"),240.0)</f>
        <v>240</v>
      </c>
      <c r="C134" s="25" t="str">
        <f>IFERROR(__xludf.DUMMYFUNCTION("""COMPUTED_VALUE"""),"মোঃ জামির উদ্দীন")</f>
        <v>মোঃ জামির উদ্দীন</v>
      </c>
      <c r="D134" s="25">
        <f>IFERROR(__xludf.DUMMYFUNCTION("""COMPUTED_VALUE"""),5.7015637827E11)</f>
        <v>570156378270</v>
      </c>
      <c r="E134" s="25" t="str">
        <f>IFERROR(__xludf.DUMMYFUNCTION("""COMPUTED_VALUE"""),"কাইমালী মন্ডল")</f>
        <v>কাইমালী মন্ডল</v>
      </c>
      <c r="F134" s="25" t="str">
        <f>IFERROR(__xludf.DUMMYFUNCTION("""COMPUTED_VALUE"""),"মোছাঃ ছমেলা খাতুন")</f>
        <v>মোছাঃ ছমেলা খাতুন</v>
      </c>
      <c r="G134" s="25" t="str">
        <f>IFERROR(__xludf.DUMMYFUNCTION("""COMPUTED_VALUE"""),"০৯/০৭/১৯৫৭")</f>
        <v>০৯/০৭/১৯৫৭</v>
      </c>
      <c r="H134" s="25" t="str">
        <f>IFERROR(__xludf.DUMMYFUNCTION("""COMPUTED_VALUE"""),"কৃষক")</f>
        <v>কৃষক</v>
      </c>
      <c r="I134" s="25" t="str">
        <f>IFERROR(__xludf.DUMMYFUNCTION("""COMPUTED_VALUE"""),"""জালশুকা মসজিদ পাড়া")</f>
        <v>"জালশুকা মসজিদ পাড়া</v>
      </c>
      <c r="J134" s="25" t="str">
        <f>IFERROR(__xludf.DUMMYFUNCTION("""COMPUTED_VALUE""")," গাংনী")</f>
        <v> গাংনী</v>
      </c>
      <c r="K134" s="25" t="str">
        <f>IFERROR(__xludf.DUMMYFUNCTION("""COMPUTED_VALUE""")," মেহেরপুর""")</f>
        <v> মেহেরপুর"</v>
      </c>
    </row>
    <row r="135">
      <c r="A135" s="24" t="s">
        <v>2828</v>
      </c>
      <c r="B135" s="25">
        <f>IFERROR(__xludf.DUMMYFUNCTION("SPLIT(A135,"","")"),241.0)</f>
        <v>241</v>
      </c>
      <c r="C135" s="25" t="str">
        <f>IFERROR(__xludf.DUMMYFUNCTION("""COMPUTED_VALUE"""),"মোঃ উমিদ আলী")</f>
        <v>মোঃ উমিদ আলী</v>
      </c>
      <c r="D135" s="25">
        <f>IFERROR(__xludf.DUMMYFUNCTION("""COMPUTED_VALUE"""),5.70156378273E11)</f>
        <v>570156378273</v>
      </c>
      <c r="E135" s="25" t="str">
        <f>IFERROR(__xludf.DUMMYFUNCTION("""COMPUTED_VALUE"""),"কাইমালী")</f>
        <v>কাইমালী</v>
      </c>
      <c r="F135" s="25" t="str">
        <f>IFERROR(__xludf.DUMMYFUNCTION("""COMPUTED_VALUE"""),"মোছাঃ ছমেলা খাতুন")</f>
        <v>মোছাঃ ছমেলা খাতুন</v>
      </c>
      <c r="G135" s="25" t="str">
        <f>IFERROR(__xludf.DUMMYFUNCTION("""COMPUTED_VALUE"""),"০৪/০৮/১৯৬৭")</f>
        <v>০৪/০৮/১৯৬৭</v>
      </c>
      <c r="H135" s="25" t="str">
        <f>IFERROR(__xludf.DUMMYFUNCTION("""COMPUTED_VALUE"""),"কৃষক")</f>
        <v>কৃষক</v>
      </c>
      <c r="I135" s="25" t="str">
        <f>IFERROR(__xludf.DUMMYFUNCTION("""COMPUTED_VALUE"""),"""জালশুকা")</f>
        <v>"জালশুকা</v>
      </c>
      <c r="J135" s="25" t="str">
        <f>IFERROR(__xludf.DUMMYFUNCTION("""COMPUTED_VALUE""")," গাংনী")</f>
        <v> গাংনী</v>
      </c>
      <c r="K135" s="25" t="str">
        <f>IFERROR(__xludf.DUMMYFUNCTION("""COMPUTED_VALUE""")," মেহেরপুর""")</f>
        <v> মেহেরপুর"</v>
      </c>
    </row>
    <row r="136">
      <c r="A136" s="24" t="s">
        <v>2829</v>
      </c>
      <c r="B136" s="25">
        <f>IFERROR(__xludf.DUMMYFUNCTION("SPLIT(A136,"","")"),242.0)</f>
        <v>242</v>
      </c>
      <c r="C136" s="25" t="str">
        <f>IFERROR(__xludf.DUMMYFUNCTION("""COMPUTED_VALUE"""),"মোঃ শফিরুদ্দীন")</f>
        <v>মোঃ শফিরুদ্দীন</v>
      </c>
      <c r="D136" s="25">
        <f>IFERROR(__xludf.DUMMYFUNCTION("""COMPUTED_VALUE"""),5.70156378274E11)</f>
        <v>570156378274</v>
      </c>
      <c r="E136" s="25" t="str">
        <f>IFERROR(__xludf.DUMMYFUNCTION("""COMPUTED_VALUE"""),"তাহাজদ্দিন")</f>
        <v>তাহাজদ্দিন</v>
      </c>
      <c r="F136" s="25" t="str">
        <f>IFERROR(__xludf.DUMMYFUNCTION("""COMPUTED_VALUE"""),"মোছাঃ সফুরা খাতুন")</f>
        <v>মোছাঃ সফুরা খাতুন</v>
      </c>
      <c r="G136" s="25" t="str">
        <f>IFERROR(__xludf.DUMMYFUNCTION("""COMPUTED_VALUE"""),"১৭/০৯/১৯৫২")</f>
        <v>১৭/০৯/১৯৫২</v>
      </c>
      <c r="H136" s="25" t="str">
        <f>IFERROR(__xludf.DUMMYFUNCTION("""COMPUTED_VALUE"""),"কৃষক")</f>
        <v>কৃষক</v>
      </c>
      <c r="I136" s="25" t="str">
        <f>IFERROR(__xludf.DUMMYFUNCTION("""COMPUTED_VALUE"""),"""জালশুকা মসজিদপাড়া")</f>
        <v>"জালশুকা মসজিদপাড়া</v>
      </c>
      <c r="J136" s="25" t="str">
        <f>IFERROR(__xludf.DUMMYFUNCTION("""COMPUTED_VALUE""")," গাংনী")</f>
        <v> গাংনী</v>
      </c>
      <c r="K136" s="25" t="str">
        <f>IFERROR(__xludf.DUMMYFUNCTION("""COMPUTED_VALUE""")," মেহেরপুর""")</f>
        <v> মেহেরপুর"</v>
      </c>
    </row>
    <row r="137">
      <c r="A137" s="24" t="s">
        <v>2830</v>
      </c>
      <c r="B137" s="25">
        <f>IFERROR(__xludf.DUMMYFUNCTION("SPLIT(A137,"","")"),243.0)</f>
        <v>243</v>
      </c>
      <c r="C137" s="25" t="str">
        <f>IFERROR(__xludf.DUMMYFUNCTION("""COMPUTED_VALUE"""),"মোঃ আবুল হোসেন")</f>
        <v>মোঃ আবুল হোসেন</v>
      </c>
      <c r="D137" s="25">
        <f>IFERROR(__xludf.DUMMYFUNCTION("""COMPUTED_VALUE"""),5.70156378275E11)</f>
        <v>570156378275</v>
      </c>
      <c r="E137" s="25" t="str">
        <f>IFERROR(__xludf.DUMMYFUNCTION("""COMPUTED_VALUE"""),"শফিরুদ্দীন")</f>
        <v>শফিরুদ্দীন</v>
      </c>
      <c r="F137" s="25" t="str">
        <f>IFERROR(__xludf.DUMMYFUNCTION("""COMPUTED_VALUE"""),"মোছাঃ সুবারন নেছা")</f>
        <v>মোছাঃ সুবারন নেছা</v>
      </c>
      <c r="G137" s="25" t="str">
        <f>IFERROR(__xludf.DUMMYFUNCTION("""COMPUTED_VALUE"""),"২১/০৪/১৯৩৭")</f>
        <v>২১/০৪/১৯৩৭</v>
      </c>
      <c r="H137" s="25" t="str">
        <f>IFERROR(__xludf.DUMMYFUNCTION("""COMPUTED_VALUE"""),"কৃষক")</f>
        <v>কৃষক</v>
      </c>
      <c r="I137" s="25" t="str">
        <f>IFERROR(__xludf.DUMMYFUNCTION("""COMPUTED_VALUE"""),"""জালশুকা মসজিদ পাড়া")</f>
        <v>"জালশুকা মসজিদ পাড়া</v>
      </c>
      <c r="J137" s="25" t="str">
        <f>IFERROR(__xludf.DUMMYFUNCTION("""COMPUTED_VALUE""")," গাংনী")</f>
        <v> গাংনী</v>
      </c>
      <c r="K137" s="25" t="str">
        <f>IFERROR(__xludf.DUMMYFUNCTION("""COMPUTED_VALUE""")," মেহেরপুর""")</f>
        <v> মেহেরপুর"</v>
      </c>
    </row>
    <row r="138">
      <c r="A138" s="24" t="s">
        <v>2831</v>
      </c>
      <c r="B138" s="25">
        <f>IFERROR(__xludf.DUMMYFUNCTION("SPLIT(A138,"","")"),244.0)</f>
        <v>244</v>
      </c>
      <c r="C138" s="25" t="str">
        <f>IFERROR(__xludf.DUMMYFUNCTION("""COMPUTED_VALUE"""),"মোঃ রুহুল আমিন")</f>
        <v>মোঃ রুহুল আমিন</v>
      </c>
      <c r="D138" s="25">
        <f>IFERROR(__xludf.DUMMYFUNCTION("""COMPUTED_VALUE"""),5.70156378277E11)</f>
        <v>570156378277</v>
      </c>
      <c r="E138" s="25" t="str">
        <f>IFERROR(__xludf.DUMMYFUNCTION("""COMPUTED_VALUE"""),"মোঃ দিদার বক্স")</f>
        <v>মোঃ দিদার বক্স</v>
      </c>
      <c r="F138" s="25" t="str">
        <f>IFERROR(__xludf.DUMMYFUNCTION("""COMPUTED_VALUE"""),"মোছাঃ নজিরা খাতুন")</f>
        <v>মোছাঃ নজিরা খাতুন</v>
      </c>
      <c r="G138" s="25" t="str">
        <f>IFERROR(__xludf.DUMMYFUNCTION("""COMPUTED_VALUE"""),"১৯/০৩/১৯৬২")</f>
        <v>১৯/০৩/১৯৬২</v>
      </c>
      <c r="H138" s="25" t="str">
        <f>IFERROR(__xludf.DUMMYFUNCTION("""COMPUTED_VALUE"""),"কৃষক")</f>
        <v>কৃষক</v>
      </c>
      <c r="I138" s="25" t="str">
        <f>IFERROR(__xludf.DUMMYFUNCTION("""COMPUTED_VALUE"""),"""জালশুকা মসজিদপাড়া")</f>
        <v>"জালশুকা মসজিদপাড়া</v>
      </c>
      <c r="J138" s="25" t="str">
        <f>IFERROR(__xludf.DUMMYFUNCTION("""COMPUTED_VALUE""")," গাংনী")</f>
        <v> গাংনী</v>
      </c>
      <c r="K138" s="25" t="str">
        <f>IFERROR(__xludf.DUMMYFUNCTION("""COMPUTED_VALUE""")," মেহেরপুর""")</f>
        <v> মেহেরপুর"</v>
      </c>
    </row>
    <row r="139">
      <c r="A139" s="24" t="s">
        <v>2832</v>
      </c>
      <c r="B139" s="25">
        <f>IFERROR(__xludf.DUMMYFUNCTION("SPLIT(A139,"","")"),245.0)</f>
        <v>245</v>
      </c>
      <c r="C139" s="25" t="str">
        <f>IFERROR(__xludf.DUMMYFUNCTION("""COMPUTED_VALUE"""),"মোঃ লিটন আলী")</f>
        <v>মোঃ লিটন আলী</v>
      </c>
      <c r="D139" s="25">
        <f>IFERROR(__xludf.DUMMYFUNCTION("""COMPUTED_VALUE"""),5.70156378278E11)</f>
        <v>570156378278</v>
      </c>
      <c r="E139" s="25" t="str">
        <f>IFERROR(__xludf.DUMMYFUNCTION("""COMPUTED_VALUE"""),"মোঃ আনসার মুন্সি")</f>
        <v>মোঃ আনসার মুন্সি</v>
      </c>
      <c r="F139" s="25" t="str">
        <f>IFERROR(__xludf.DUMMYFUNCTION("""COMPUTED_VALUE"""),"মোছাঃ ভানুয়ারা")</f>
        <v>মোছাঃ ভানুয়ারা</v>
      </c>
      <c r="G139" s="25" t="str">
        <f>IFERROR(__xludf.DUMMYFUNCTION("""COMPUTED_VALUE"""),"২১/০৭/১৯৮৭")</f>
        <v>২১/০৭/১৯৮৭</v>
      </c>
      <c r="H139" s="25" t="str">
        <f>IFERROR(__xludf.DUMMYFUNCTION("""COMPUTED_VALUE"""),"কৃষক")</f>
        <v>কৃষক</v>
      </c>
      <c r="I139" s="25" t="str">
        <f>IFERROR(__xludf.DUMMYFUNCTION("""COMPUTED_VALUE"""),"""জালশুকা মসজিদপাড়া")</f>
        <v>"জালশুকা মসজিদপাড়া</v>
      </c>
      <c r="J139" s="25" t="str">
        <f>IFERROR(__xludf.DUMMYFUNCTION("""COMPUTED_VALUE""")," গাংনী")</f>
        <v> গাংনী</v>
      </c>
      <c r="K139" s="25" t="str">
        <f>IFERROR(__xludf.DUMMYFUNCTION("""COMPUTED_VALUE""")," মেহেরপুর""")</f>
        <v> মেহেরপুর"</v>
      </c>
    </row>
    <row r="140">
      <c r="A140" s="24" t="s">
        <v>2833</v>
      </c>
      <c r="B140" s="25">
        <f>IFERROR(__xludf.DUMMYFUNCTION("SPLIT(A140,"","")"),246.0)</f>
        <v>246</v>
      </c>
      <c r="C140" s="25" t="str">
        <f>IFERROR(__xludf.DUMMYFUNCTION("""COMPUTED_VALUE"""),"মোঃ আলমগীর হোসেন")</f>
        <v>মোঃ আলমগীর হোসেন</v>
      </c>
      <c r="D140" s="25">
        <f>IFERROR(__xludf.DUMMYFUNCTION("""COMPUTED_VALUE"""),5.70156378279E11)</f>
        <v>570156378279</v>
      </c>
      <c r="E140" s="25" t="str">
        <f>IFERROR(__xludf.DUMMYFUNCTION("""COMPUTED_VALUE"""),"মোঃ হায়াত আলী")</f>
        <v>মোঃ হায়াত আলী</v>
      </c>
      <c r="F140" s="25" t="str">
        <f>IFERROR(__xludf.DUMMYFUNCTION("""COMPUTED_VALUE"""),"মোছাঃ আশান্নারা")</f>
        <v>মোছাঃ আশান্নারা</v>
      </c>
      <c r="G140" s="25" t="str">
        <f>IFERROR(__xludf.DUMMYFUNCTION("""COMPUTED_VALUE"""),"২৫/০৫/১৯৮৩")</f>
        <v>২৫/০৫/১৯৮৩</v>
      </c>
      <c r="H140" s="25" t="str">
        <f>IFERROR(__xludf.DUMMYFUNCTION("""COMPUTED_VALUE"""),"কৃষক")</f>
        <v>কৃষক</v>
      </c>
      <c r="I140" s="25" t="str">
        <f>IFERROR(__xludf.DUMMYFUNCTION("""COMPUTED_VALUE"""),"""জালশুকা")</f>
        <v>"জালশুকা</v>
      </c>
      <c r="J140" s="25" t="str">
        <f>IFERROR(__xludf.DUMMYFUNCTION("""COMPUTED_VALUE""")," গাংনী")</f>
        <v> গাংনী</v>
      </c>
      <c r="K140" s="25" t="str">
        <f>IFERROR(__xludf.DUMMYFUNCTION("""COMPUTED_VALUE""")," মেহেরপুর""")</f>
        <v> মেহেরপুর"</v>
      </c>
    </row>
    <row r="141">
      <c r="A141" s="24" t="s">
        <v>2834</v>
      </c>
      <c r="B141" s="25">
        <f>IFERROR(__xludf.DUMMYFUNCTION("SPLIT(A141,"","")"),247.0)</f>
        <v>247</v>
      </c>
      <c r="C141" s="25" t="str">
        <f>IFERROR(__xludf.DUMMYFUNCTION("""COMPUTED_VALUE"""),"মোঃ তাহিরুদ্দীন")</f>
        <v>মোঃ তাহিরুদ্দীন</v>
      </c>
      <c r="D141" s="25">
        <f>IFERROR(__xludf.DUMMYFUNCTION("""COMPUTED_VALUE"""),5.70156378281E11)</f>
        <v>570156378281</v>
      </c>
      <c r="E141" s="25" t="str">
        <f>IFERROR(__xludf.DUMMYFUNCTION("""COMPUTED_VALUE"""),"তাহাজদ্দিন")</f>
        <v>তাহাজদ্দিন</v>
      </c>
      <c r="F141" s="25" t="str">
        <f>IFERROR(__xludf.DUMMYFUNCTION("""COMPUTED_VALUE"""),"সফুরা খাতুন")</f>
        <v>সফুরা খাতুন</v>
      </c>
      <c r="G141" s="25" t="str">
        <f>IFERROR(__xludf.DUMMYFUNCTION("""COMPUTED_VALUE"""),"১৭/১১/১৯৬৯")</f>
        <v>১৭/১১/১৯৬৯</v>
      </c>
      <c r="H141" s="25" t="str">
        <f>IFERROR(__xludf.DUMMYFUNCTION("""COMPUTED_VALUE"""),"কৃষক")</f>
        <v>কৃষক</v>
      </c>
      <c r="I141" s="25" t="str">
        <f>IFERROR(__xludf.DUMMYFUNCTION("""COMPUTED_VALUE"""),"""জালশুকা মসজিদপাড়া")</f>
        <v>"জালশুকা মসজিদপাড়া</v>
      </c>
      <c r="J141" s="25" t="str">
        <f>IFERROR(__xludf.DUMMYFUNCTION("""COMPUTED_VALUE""")," গাংনী")</f>
        <v> গাংনী</v>
      </c>
      <c r="K141" s="25" t="str">
        <f>IFERROR(__xludf.DUMMYFUNCTION("""COMPUTED_VALUE""")," মেহেরপুর""")</f>
        <v> মেহেরপুর"</v>
      </c>
    </row>
    <row r="142">
      <c r="A142" s="24" t="s">
        <v>2835</v>
      </c>
      <c r="B142" s="25">
        <f>IFERROR(__xludf.DUMMYFUNCTION("SPLIT(A142,"","")"),248.0)</f>
        <v>248</v>
      </c>
      <c r="C142" s="25" t="str">
        <f>IFERROR(__xludf.DUMMYFUNCTION("""COMPUTED_VALUE"""),"মোঃ হাফিজুর রহমান")</f>
        <v>মোঃ হাফিজুর রহমান</v>
      </c>
      <c r="D142" s="25">
        <f>IFERROR(__xludf.DUMMYFUNCTION("""COMPUTED_VALUE"""),5.70156378282E11)</f>
        <v>570156378282</v>
      </c>
      <c r="E142" s="25" t="str">
        <f>IFERROR(__xludf.DUMMYFUNCTION("""COMPUTED_VALUE"""),"মোঃ লুতফর রহমান")</f>
        <v>মোঃ লুতফর রহমান</v>
      </c>
      <c r="F142" s="25" t="str">
        <f>IFERROR(__xludf.DUMMYFUNCTION("""COMPUTED_VALUE"""),"মোছাঃ রাবিয়া বেগম")</f>
        <v>মোছাঃ রাবিয়া বেগম</v>
      </c>
      <c r="G142" s="25" t="str">
        <f>IFERROR(__xludf.DUMMYFUNCTION("""COMPUTED_VALUE"""),"১৮/০৭/১৯৬৯")</f>
        <v>১৮/০৭/১৯৬৯</v>
      </c>
      <c r="H142" s="25" t="str">
        <f>IFERROR(__xludf.DUMMYFUNCTION("""COMPUTED_VALUE"""),"কৃষক")</f>
        <v>কৃষক</v>
      </c>
      <c r="I142" s="25" t="str">
        <f>IFERROR(__xludf.DUMMYFUNCTION("""COMPUTED_VALUE"""),"""জালশুকা মসজিদ পাড়া")</f>
        <v>"জালশুকা মসজিদ পাড়া</v>
      </c>
      <c r="J142" s="25" t="str">
        <f>IFERROR(__xludf.DUMMYFUNCTION("""COMPUTED_VALUE""")," গাংনী")</f>
        <v> গাংনী</v>
      </c>
      <c r="K142" s="25" t="str">
        <f>IFERROR(__xludf.DUMMYFUNCTION("""COMPUTED_VALUE""")," মেহেরপুর""")</f>
        <v> মেহেরপুর"</v>
      </c>
    </row>
    <row r="143">
      <c r="A143" s="24" t="s">
        <v>2836</v>
      </c>
      <c r="B143" s="25">
        <f>IFERROR(__xludf.DUMMYFUNCTION("SPLIT(A143,"","")"),249.0)</f>
        <v>249</v>
      </c>
      <c r="C143" s="25" t="str">
        <f>IFERROR(__xludf.DUMMYFUNCTION("""COMPUTED_VALUE"""),"মোঃ বোল্টু মিয়া")</f>
        <v>মোঃ বোল্টু মিয়া</v>
      </c>
      <c r="D143" s="25">
        <f>IFERROR(__xludf.DUMMYFUNCTION("""COMPUTED_VALUE"""),5.70156378284E11)</f>
        <v>570156378284</v>
      </c>
      <c r="E143" s="25" t="str">
        <f>IFERROR(__xludf.DUMMYFUNCTION("""COMPUTED_VALUE"""),"মোঃ সিতাব মন্ডল")</f>
        <v>মোঃ সিতাব মন্ডল</v>
      </c>
      <c r="F143" s="25" t="str">
        <f>IFERROR(__xludf.DUMMYFUNCTION("""COMPUTED_VALUE"""),"মোছাঃ কহিনুর বেগম")</f>
        <v>মোছাঃ কহিনুর বেগম</v>
      </c>
      <c r="G143" s="25" t="str">
        <f>IFERROR(__xludf.DUMMYFUNCTION("""COMPUTED_VALUE"""),"২২/০১/১৯৮০")</f>
        <v>২২/০১/১৯৮০</v>
      </c>
      <c r="H143" s="25" t="str">
        <f>IFERROR(__xludf.DUMMYFUNCTION("""COMPUTED_VALUE"""),"কৃষক")</f>
        <v>কৃষক</v>
      </c>
      <c r="I143" s="25" t="str">
        <f>IFERROR(__xludf.DUMMYFUNCTION("""COMPUTED_VALUE"""),"""জালশুকা")</f>
        <v>"জালশুকা</v>
      </c>
      <c r="J143" s="25" t="str">
        <f>IFERROR(__xludf.DUMMYFUNCTION("""COMPUTED_VALUE""")," গাংনী")</f>
        <v> গাংনী</v>
      </c>
      <c r="K143" s="25" t="str">
        <f>IFERROR(__xludf.DUMMYFUNCTION("""COMPUTED_VALUE""")," মেহেরপুর""")</f>
        <v> মেহেরপুর"</v>
      </c>
    </row>
    <row r="144">
      <c r="A144" s="24" t="s">
        <v>2837</v>
      </c>
      <c r="B144" s="25">
        <f>IFERROR(__xludf.DUMMYFUNCTION("SPLIT(A144,"","")"),250.0)</f>
        <v>250</v>
      </c>
      <c r="C144" s="25" t="str">
        <f>IFERROR(__xludf.DUMMYFUNCTION("""COMPUTED_VALUE"""),"মোঃ ভাষান আলী")</f>
        <v>মোঃ ভাষান আলী</v>
      </c>
      <c r="D144" s="25">
        <f>IFERROR(__xludf.DUMMYFUNCTION("""COMPUTED_VALUE"""),5.70156378286E11)</f>
        <v>570156378286</v>
      </c>
      <c r="E144" s="25" t="str">
        <f>IFERROR(__xludf.DUMMYFUNCTION("""COMPUTED_VALUE"""),"মোঃ আকবর আলী")</f>
        <v>মোঃ আকবর আলী</v>
      </c>
      <c r="F144" s="25" t="str">
        <f>IFERROR(__xludf.DUMMYFUNCTION("""COMPUTED_VALUE"""),"মোছাঃ মনোয়ারা")</f>
        <v>মোছাঃ মনোয়ারা</v>
      </c>
      <c r="G144" s="25" t="str">
        <f>IFERROR(__xludf.DUMMYFUNCTION("""COMPUTED_VALUE"""),"২২/০৫/১৯৭০")</f>
        <v>২২/০৫/১৯৭০</v>
      </c>
      <c r="H144" s="25" t="str">
        <f>IFERROR(__xludf.DUMMYFUNCTION("""COMPUTED_VALUE"""),"কৃষক")</f>
        <v>কৃষক</v>
      </c>
      <c r="I144" s="25" t="str">
        <f>IFERROR(__xludf.DUMMYFUNCTION("""COMPUTED_VALUE"""),"""জালশুকা")</f>
        <v>"জালশুকা</v>
      </c>
      <c r="J144" s="25" t="str">
        <f>IFERROR(__xludf.DUMMYFUNCTION("""COMPUTED_VALUE""")," গাংনী")</f>
        <v> গাংনী</v>
      </c>
      <c r="K144" s="25" t="str">
        <f>IFERROR(__xludf.DUMMYFUNCTION("""COMPUTED_VALUE""")," মেহেরপুর""")</f>
        <v> মেহেরপুর"</v>
      </c>
    </row>
    <row r="145">
      <c r="A145" s="24" t="s">
        <v>2838</v>
      </c>
      <c r="B145" s="25">
        <f>IFERROR(__xludf.DUMMYFUNCTION("SPLIT(A145,"","")"),251.0)</f>
        <v>251</v>
      </c>
      <c r="C145" s="25" t="str">
        <f>IFERROR(__xludf.DUMMYFUNCTION("""COMPUTED_VALUE"""),"মোঃ রুহুল আমিন")</f>
        <v>মোঃ রুহুল আমিন</v>
      </c>
      <c r="D145" s="25">
        <f>IFERROR(__xludf.DUMMYFUNCTION("""COMPUTED_VALUE"""),5.70156378287E11)</f>
        <v>570156378287</v>
      </c>
      <c r="E145" s="25" t="str">
        <f>IFERROR(__xludf.DUMMYFUNCTION("""COMPUTED_VALUE"""),"মোঃ আবুল হোসেন")</f>
        <v>মোঃ আবুল হোসেন</v>
      </c>
      <c r="F145" s="25" t="str">
        <f>IFERROR(__xludf.DUMMYFUNCTION("""COMPUTED_VALUE"""),"মোছাঃ ঈশারন নেছা")</f>
        <v>মোছাঃ ঈশারন নেছা</v>
      </c>
      <c r="G145" s="25" t="str">
        <f>IFERROR(__xludf.DUMMYFUNCTION("""COMPUTED_VALUE"""),"০২/০৫/১৯৬৭")</f>
        <v>০২/০৫/১৯৬৭</v>
      </c>
      <c r="H145" s="25" t="str">
        <f>IFERROR(__xludf.DUMMYFUNCTION("""COMPUTED_VALUE"""),"কৃষক")</f>
        <v>কৃষক</v>
      </c>
      <c r="I145" s="25" t="str">
        <f>IFERROR(__xludf.DUMMYFUNCTION("""COMPUTED_VALUE"""),"""জালশুকা মসজিদ পাড়া")</f>
        <v>"জালশুকা মসজিদ পাড়া</v>
      </c>
      <c r="J145" s="25" t="str">
        <f>IFERROR(__xludf.DUMMYFUNCTION("""COMPUTED_VALUE""")," গাংনী")</f>
        <v> গাংনী</v>
      </c>
      <c r="K145" s="25" t="str">
        <f>IFERROR(__xludf.DUMMYFUNCTION("""COMPUTED_VALUE""")," মেহেরপুর""")</f>
        <v> মেহেরপুর"</v>
      </c>
    </row>
    <row r="146">
      <c r="A146" s="24" t="s">
        <v>2839</v>
      </c>
      <c r="B146" s="25">
        <f>IFERROR(__xludf.DUMMYFUNCTION("SPLIT(A146,"","")"),252.0)</f>
        <v>252</v>
      </c>
      <c r="C146" s="25" t="str">
        <f>IFERROR(__xludf.DUMMYFUNCTION("""COMPUTED_VALUE"""),"মোঃ নাসির উদ্দীন")</f>
        <v>মোঃ নাসির উদ্দীন</v>
      </c>
      <c r="D146" s="25">
        <f>IFERROR(__xludf.DUMMYFUNCTION("""COMPUTED_VALUE"""),5.70156378291E11)</f>
        <v>570156378291</v>
      </c>
      <c r="E146" s="25" t="str">
        <f>IFERROR(__xludf.DUMMYFUNCTION("""COMPUTED_VALUE"""),"মোঃ তাহাজদ্দিন")</f>
        <v>মোঃ তাহাজদ্দিন</v>
      </c>
      <c r="F146" s="25" t="str">
        <f>IFERROR(__xludf.DUMMYFUNCTION("""COMPUTED_VALUE"""),"মোছাঃ সফুরা খাতুন")</f>
        <v>মোছাঃ সফুরা খাতুন</v>
      </c>
      <c r="G146" s="25" t="str">
        <f>IFERROR(__xludf.DUMMYFUNCTION("""COMPUTED_VALUE"""),"০৫/০৯/১৯৬৬")</f>
        <v>০৫/০৯/১৯৬৬</v>
      </c>
      <c r="H146" s="25" t="str">
        <f>IFERROR(__xludf.DUMMYFUNCTION("""COMPUTED_VALUE"""),"কৃষক")</f>
        <v>কৃষক</v>
      </c>
      <c r="I146" s="25" t="str">
        <f>IFERROR(__xludf.DUMMYFUNCTION("""COMPUTED_VALUE"""),"""জালশুকা")</f>
        <v>"জালশুকা</v>
      </c>
      <c r="J146" s="25" t="str">
        <f>IFERROR(__xludf.DUMMYFUNCTION("""COMPUTED_VALUE""")," গাংনী")</f>
        <v> গাংনী</v>
      </c>
      <c r="K146" s="25" t="str">
        <f>IFERROR(__xludf.DUMMYFUNCTION("""COMPUTED_VALUE""")," মেহেরপুর""")</f>
        <v> মেহেরপুর"</v>
      </c>
    </row>
    <row r="147">
      <c r="A147" s="24" t="s">
        <v>2840</v>
      </c>
      <c r="B147" s="25">
        <f>IFERROR(__xludf.DUMMYFUNCTION("SPLIT(A147,"","")"),253.0)</f>
        <v>253</v>
      </c>
      <c r="C147" s="25" t="str">
        <f>IFERROR(__xludf.DUMMYFUNCTION("""COMPUTED_VALUE"""),"মোঃ মজিবর মন্ডল")</f>
        <v>মোঃ মজিবর মন্ডল</v>
      </c>
      <c r="D147" s="25">
        <f>IFERROR(__xludf.DUMMYFUNCTION("""COMPUTED_VALUE"""),5.70156378293E11)</f>
        <v>570156378293</v>
      </c>
      <c r="E147" s="25" t="str">
        <f>IFERROR(__xludf.DUMMYFUNCTION("""COMPUTED_VALUE"""),"মফেজ উদ্দীন")</f>
        <v>মফেজ উদ্দীন</v>
      </c>
      <c r="F147" s="25" t="str">
        <f>IFERROR(__xludf.DUMMYFUNCTION("""COMPUTED_VALUE"""),"বছিরন নেছা")</f>
        <v>বছিরন নেছা</v>
      </c>
      <c r="G147" s="25" t="str">
        <f>IFERROR(__xludf.DUMMYFUNCTION("""COMPUTED_VALUE"""),"০৫/০৯/১৯২৭")</f>
        <v>০৫/০৯/১৯২৭</v>
      </c>
      <c r="H147" s="25" t="str">
        <f>IFERROR(__xludf.DUMMYFUNCTION("""COMPUTED_VALUE"""),"কৃষক")</f>
        <v>কৃষক</v>
      </c>
      <c r="I147" s="25" t="str">
        <f>IFERROR(__xludf.DUMMYFUNCTION("""COMPUTED_VALUE"""),"""জালশুকা")</f>
        <v>"জালশুকা</v>
      </c>
      <c r="J147" s="25" t="str">
        <f>IFERROR(__xludf.DUMMYFUNCTION("""COMPUTED_VALUE""")," গাংনী")</f>
        <v> গাংনী</v>
      </c>
      <c r="K147" s="25" t="str">
        <f>IFERROR(__xludf.DUMMYFUNCTION("""COMPUTED_VALUE""")," মেহেরপুর""")</f>
        <v> মেহেরপুর"</v>
      </c>
    </row>
    <row r="148">
      <c r="A148" s="24" t="s">
        <v>2841</v>
      </c>
      <c r="B148" s="25">
        <f>IFERROR(__xludf.DUMMYFUNCTION("SPLIT(A148,"","")"),254.0)</f>
        <v>254</v>
      </c>
      <c r="C148" s="25" t="str">
        <f>IFERROR(__xludf.DUMMYFUNCTION("""COMPUTED_VALUE"""),"মোঃ আঃ গফুর মন্ডল")</f>
        <v>মোঃ আঃ গফুর মন্ডল</v>
      </c>
      <c r="D148" s="25">
        <f>IFERROR(__xludf.DUMMYFUNCTION("""COMPUTED_VALUE"""),5.70156378294E11)</f>
        <v>570156378294</v>
      </c>
      <c r="E148" s="25" t="str">
        <f>IFERROR(__xludf.DUMMYFUNCTION("""COMPUTED_VALUE"""),"মোঃ গোলাম রসুল মন্ডল")</f>
        <v>মোঃ গোলাম রসুল মন্ডল</v>
      </c>
      <c r="F148" s="25" t="str">
        <f>IFERROR(__xludf.DUMMYFUNCTION("""COMPUTED_VALUE"""),"মোছাঃ জহুরা খাতুন")</f>
        <v>মোছাঃ জহুরা খাতুন</v>
      </c>
      <c r="G148" s="25" t="str">
        <f>IFERROR(__xludf.DUMMYFUNCTION("""COMPUTED_VALUE"""),"০৩/০৮/১৯৭২")</f>
        <v>০৩/০৮/১৯৭২</v>
      </c>
      <c r="H148" s="25" t="str">
        <f>IFERROR(__xludf.DUMMYFUNCTION("""COMPUTED_VALUE"""),"কৃষক")</f>
        <v>কৃষক</v>
      </c>
      <c r="I148" s="25" t="str">
        <f>IFERROR(__xludf.DUMMYFUNCTION("""COMPUTED_VALUE"""),"""জালশুকা মসজিদ পাড়া")</f>
        <v>"জালশুকা মসজিদ পাড়া</v>
      </c>
      <c r="J148" s="25" t="str">
        <f>IFERROR(__xludf.DUMMYFUNCTION("""COMPUTED_VALUE""")," গাংনী")</f>
        <v> গাংনী</v>
      </c>
      <c r="K148" s="25" t="str">
        <f>IFERROR(__xludf.DUMMYFUNCTION("""COMPUTED_VALUE""")," মেহেরপুর""")</f>
        <v> মেহেরপুর"</v>
      </c>
    </row>
    <row r="149">
      <c r="A149" s="24" t="s">
        <v>2842</v>
      </c>
      <c r="B149" s="25">
        <f>IFERROR(__xludf.DUMMYFUNCTION("SPLIT(A149,"","")"),255.0)</f>
        <v>255</v>
      </c>
      <c r="C149" s="25" t="str">
        <f>IFERROR(__xludf.DUMMYFUNCTION("""COMPUTED_VALUE"""),"মোঃ বাদশা বুলবুল")</f>
        <v>মোঃ বাদশা বুলবুল</v>
      </c>
      <c r="D149" s="25">
        <f>IFERROR(__xludf.DUMMYFUNCTION("""COMPUTED_VALUE"""),5.70156378298E11)</f>
        <v>570156378298</v>
      </c>
      <c r="E149" s="25" t="str">
        <f>IFERROR(__xludf.DUMMYFUNCTION("""COMPUTED_VALUE"""),"মোঃ আমিনুল ইসলাম")</f>
        <v>মোঃ আমিনুল ইসলাম</v>
      </c>
      <c r="F149" s="25" t="str">
        <f>IFERROR(__xludf.DUMMYFUNCTION("""COMPUTED_VALUE"""),"মোছাঃ ছালেহা খাতুন")</f>
        <v>মোছাঃ ছালেহা খাতুন</v>
      </c>
      <c r="G149" s="25" t="str">
        <f>IFERROR(__xludf.DUMMYFUNCTION("""COMPUTED_VALUE"""),"১৯/০৮/১৯৮৮")</f>
        <v>১৯/০৮/১৯৮৮</v>
      </c>
      <c r="H149" s="25" t="str">
        <f>IFERROR(__xludf.DUMMYFUNCTION("""COMPUTED_VALUE"""),"কৃষক")</f>
        <v>কৃষক</v>
      </c>
      <c r="I149" s="25" t="str">
        <f>IFERROR(__xludf.DUMMYFUNCTION("""COMPUTED_VALUE"""),"""জালশুকা উত্তর পাড়া")</f>
        <v>"জালশুকা উত্তর পাড়া</v>
      </c>
      <c r="J149" s="25" t="str">
        <f>IFERROR(__xludf.DUMMYFUNCTION("""COMPUTED_VALUE""")," গাংনী")</f>
        <v> গাংনী</v>
      </c>
      <c r="K149" s="25" t="str">
        <f>IFERROR(__xludf.DUMMYFUNCTION("""COMPUTED_VALUE""")," মেহেরপুর""")</f>
        <v> মেহেরপুর"</v>
      </c>
    </row>
    <row r="150">
      <c r="A150" s="24" t="s">
        <v>2843</v>
      </c>
      <c r="B150" s="25">
        <f>IFERROR(__xludf.DUMMYFUNCTION("SPLIT(A150,"","")"),256.0)</f>
        <v>256</v>
      </c>
      <c r="C150" s="25" t="str">
        <f>IFERROR(__xludf.DUMMYFUNCTION("""COMPUTED_VALUE"""),"মোঃ আবুল কাশেম")</f>
        <v>মোঃ আবুল কাশেম</v>
      </c>
      <c r="D150" s="25">
        <f>IFERROR(__xludf.DUMMYFUNCTION("""COMPUTED_VALUE"""),5.70156378303E11)</f>
        <v>570156378303</v>
      </c>
      <c r="E150" s="25" t="str">
        <f>IFERROR(__xludf.DUMMYFUNCTION("""COMPUTED_VALUE"""),"মোহাঃ আব্দুল আজিজ")</f>
        <v>মোহাঃ আব্দুল আজিজ</v>
      </c>
      <c r="F150" s="25" t="str">
        <f>IFERROR(__xludf.DUMMYFUNCTION("""COMPUTED_VALUE"""),"মোছাঃ রোকেয়া খাতুন")</f>
        <v>মোছাঃ রোকেয়া খাতুন</v>
      </c>
      <c r="G150" s="25" t="str">
        <f>IFERROR(__xludf.DUMMYFUNCTION("""COMPUTED_VALUE"""),"১২/১০/১৯৬৪")</f>
        <v>১২/১০/১৯৬৪</v>
      </c>
      <c r="H150" s="25" t="str">
        <f>IFERROR(__xludf.DUMMYFUNCTION("""COMPUTED_VALUE"""),"দিনমজুর")</f>
        <v>দিনমজুর</v>
      </c>
      <c r="I150" s="25" t="str">
        <f>IFERROR(__xludf.DUMMYFUNCTION("""COMPUTED_VALUE"""),"""জালশুকা")</f>
        <v>"জালশুকা</v>
      </c>
      <c r="J150" s="25" t="str">
        <f>IFERROR(__xludf.DUMMYFUNCTION("""COMPUTED_VALUE""")," গাংনী")</f>
        <v> গাংনী</v>
      </c>
      <c r="K150" s="25" t="str">
        <f>IFERROR(__xludf.DUMMYFUNCTION("""COMPUTED_VALUE""")," মেহেরপুর""")</f>
        <v> মেহেরপুর"</v>
      </c>
    </row>
    <row r="151">
      <c r="A151" s="24" t="s">
        <v>2844</v>
      </c>
      <c r="B151" s="25">
        <f>IFERROR(__xludf.DUMMYFUNCTION("SPLIT(A151,"","")"),257.0)</f>
        <v>257</v>
      </c>
      <c r="C151" s="25" t="str">
        <f>IFERROR(__xludf.DUMMYFUNCTION("""COMPUTED_VALUE"""),"মোঃ আবুল হাশেম")</f>
        <v>মোঃ আবুল হাশেম</v>
      </c>
      <c r="D151" s="25">
        <f>IFERROR(__xludf.DUMMYFUNCTION("""COMPUTED_VALUE"""),5.70156378305E11)</f>
        <v>570156378305</v>
      </c>
      <c r="E151" s="25" t="str">
        <f>IFERROR(__xludf.DUMMYFUNCTION("""COMPUTED_VALUE"""),"মোহাঃ আব্দুল আজিজ")</f>
        <v>মোহাঃ আব্দুল আজিজ</v>
      </c>
      <c r="F151" s="25" t="str">
        <f>IFERROR(__xludf.DUMMYFUNCTION("""COMPUTED_VALUE"""),"মোছাঃ রোকেয়া")</f>
        <v>মোছাঃ রোকেয়া</v>
      </c>
      <c r="G151" s="25" t="str">
        <f>IFERROR(__xludf.DUMMYFUNCTION("""COMPUTED_VALUE"""),"১২/১০/১৯৬৬")</f>
        <v>১২/১০/১৯৬৬</v>
      </c>
      <c r="H151" s="25" t="str">
        <f>IFERROR(__xludf.DUMMYFUNCTION("""COMPUTED_VALUE"""),"দিনমজুর")</f>
        <v>দিনমজুর</v>
      </c>
      <c r="I151" s="25" t="str">
        <f>IFERROR(__xludf.DUMMYFUNCTION("""COMPUTED_VALUE"""),"""জালশুকা")</f>
        <v>"জালশুকা</v>
      </c>
      <c r="J151" s="25" t="str">
        <f>IFERROR(__xludf.DUMMYFUNCTION("""COMPUTED_VALUE""")," গাংনী")</f>
        <v> গাংনী</v>
      </c>
      <c r="K151" s="25" t="str">
        <f>IFERROR(__xludf.DUMMYFUNCTION("""COMPUTED_VALUE""")," মেহেরপুর""")</f>
        <v> মেহেরপুর"</v>
      </c>
    </row>
    <row r="152">
      <c r="A152" s="24" t="s">
        <v>2845</v>
      </c>
      <c r="B152" s="25">
        <f>IFERROR(__xludf.DUMMYFUNCTION("SPLIT(A152,"","")"),258.0)</f>
        <v>258</v>
      </c>
      <c r="C152" s="25" t="str">
        <f>IFERROR(__xludf.DUMMYFUNCTION("""COMPUTED_VALUE"""),"মোহাঃ তহিদুল")</f>
        <v>মোহাঃ তহিদুল</v>
      </c>
      <c r="D152" s="25">
        <f>IFERROR(__xludf.DUMMYFUNCTION("""COMPUTED_VALUE"""),5.70156378307E11)</f>
        <v>570156378307</v>
      </c>
      <c r="E152" s="25" t="str">
        <f>IFERROR(__xludf.DUMMYFUNCTION("""COMPUTED_VALUE"""),"মোহাঃ আবুল কাশেম")</f>
        <v>মোহাঃ আবুল কাশেম</v>
      </c>
      <c r="F152" s="25" t="str">
        <f>IFERROR(__xludf.DUMMYFUNCTION("""COMPUTED_VALUE"""),"মোছাঃ মুর্শিদা")</f>
        <v>মোছাঃ মুর্শিদা</v>
      </c>
      <c r="G152" s="25" t="str">
        <f>IFERROR(__xludf.DUMMYFUNCTION("""COMPUTED_VALUE"""),"০১/০৭/১৯৮৭")</f>
        <v>০১/০৭/১৯৮৭</v>
      </c>
      <c r="H152" s="25" t="str">
        <f>IFERROR(__xludf.DUMMYFUNCTION("""COMPUTED_VALUE"""),"দিনমজুর")</f>
        <v>দিনমজুর</v>
      </c>
      <c r="I152" s="25" t="str">
        <f>IFERROR(__xludf.DUMMYFUNCTION("""COMPUTED_VALUE"""),"""জালশুকা")</f>
        <v>"জালশুকা</v>
      </c>
      <c r="J152" s="25" t="str">
        <f>IFERROR(__xludf.DUMMYFUNCTION("""COMPUTED_VALUE""")," গাংনী")</f>
        <v> গাংনী</v>
      </c>
      <c r="K152" s="25" t="str">
        <f>IFERROR(__xludf.DUMMYFUNCTION("""COMPUTED_VALUE""")," মেহেরপুর""")</f>
        <v> মেহেরপুর"</v>
      </c>
    </row>
    <row r="153">
      <c r="A153" s="24" t="s">
        <v>2846</v>
      </c>
      <c r="B153" s="25">
        <f>IFERROR(__xludf.DUMMYFUNCTION("SPLIT(A153,"","")"),259.0)</f>
        <v>259</v>
      </c>
      <c r="C153" s="25" t="str">
        <f>IFERROR(__xludf.DUMMYFUNCTION("""COMPUTED_VALUE"""),"মোহাঃ জিনারুল")</f>
        <v>মোহাঃ জিনারুল</v>
      </c>
      <c r="D153" s="25">
        <f>IFERROR(__xludf.DUMMYFUNCTION("""COMPUTED_VALUE"""),5.7015637831E11)</f>
        <v>570156378310</v>
      </c>
      <c r="E153" s="25" t="str">
        <f>IFERROR(__xludf.DUMMYFUNCTION("""COMPUTED_VALUE"""),"মোহাঃ মোজামেল হক")</f>
        <v>মোহাঃ মোজামেল হক</v>
      </c>
      <c r="F153" s="25" t="str">
        <f>IFERROR(__xludf.DUMMYFUNCTION("""COMPUTED_VALUE"""),"মোছাঃ আনজিরা খাতুন")</f>
        <v>মোছাঃ আনজিরা খাতুন</v>
      </c>
      <c r="G153" s="25" t="str">
        <f>IFERROR(__xludf.DUMMYFUNCTION("""COMPUTED_VALUE"""),"১২/১০/১৯৮২")</f>
        <v>১২/১০/১৯৮২</v>
      </c>
      <c r="H153" s="25" t="str">
        <f>IFERROR(__xludf.DUMMYFUNCTION("""COMPUTED_VALUE"""),"দিনমজুর")</f>
        <v>দিনমজুর</v>
      </c>
      <c r="I153" s="25" t="str">
        <f>IFERROR(__xludf.DUMMYFUNCTION("""COMPUTED_VALUE"""),"""জালশুকা")</f>
        <v>"জালশুকা</v>
      </c>
      <c r="J153" s="25" t="str">
        <f>IFERROR(__xludf.DUMMYFUNCTION("""COMPUTED_VALUE""")," গাংনী")</f>
        <v> গাংনী</v>
      </c>
      <c r="K153" s="25" t="str">
        <f>IFERROR(__xludf.DUMMYFUNCTION("""COMPUTED_VALUE""")," মেহেরপুর""")</f>
        <v> মেহেরপুর"</v>
      </c>
    </row>
    <row r="154">
      <c r="A154" s="24" t="s">
        <v>2847</v>
      </c>
      <c r="B154" s="25">
        <f>IFERROR(__xludf.DUMMYFUNCTION("SPLIT(A154,"","")"),260.0)</f>
        <v>260</v>
      </c>
      <c r="C154" s="25" t="str">
        <f>IFERROR(__xludf.DUMMYFUNCTION("""COMPUTED_VALUE"""),"মোঃ আব্দুল কাদের")</f>
        <v>মোঃ আব্দুল কাদের</v>
      </c>
      <c r="D154" s="25">
        <f>IFERROR(__xludf.DUMMYFUNCTION("""COMPUTED_VALUE"""),5.70156378312E11)</f>
        <v>570156378312</v>
      </c>
      <c r="E154" s="25" t="str">
        <f>IFERROR(__xludf.DUMMYFUNCTION("""COMPUTED_VALUE"""),"রুস্তম মন্ডল")</f>
        <v>রুস্তম মন্ডল</v>
      </c>
      <c r="F154" s="25" t="str">
        <f>IFERROR(__xludf.DUMMYFUNCTION("""COMPUTED_VALUE"""),"মোছাঃ তিতু বিবি")</f>
        <v>মোছাঃ তিতু বিবি</v>
      </c>
      <c r="G154" s="25" t="str">
        <f>IFERROR(__xludf.DUMMYFUNCTION("""COMPUTED_VALUE"""),"১০/০৩/১৯৬২")</f>
        <v>১০/০৩/১৯৬২</v>
      </c>
      <c r="H154" s="25" t="str">
        <f>IFERROR(__xludf.DUMMYFUNCTION("""COMPUTED_VALUE"""),"দিনমজুর")</f>
        <v>দিনমজুর</v>
      </c>
      <c r="I154" s="25" t="str">
        <f>IFERROR(__xludf.DUMMYFUNCTION("""COMPUTED_VALUE"""),"""জালশুকা")</f>
        <v>"জালশুকা</v>
      </c>
      <c r="J154" s="25" t="str">
        <f>IFERROR(__xludf.DUMMYFUNCTION("""COMPUTED_VALUE""")," গাংনী")</f>
        <v> গাংনী</v>
      </c>
      <c r="K154" s="25" t="str">
        <f>IFERROR(__xludf.DUMMYFUNCTION("""COMPUTED_VALUE""")," মেহেরপুর""")</f>
        <v> মেহেরপুর"</v>
      </c>
    </row>
    <row r="155">
      <c r="A155" s="24" t="s">
        <v>2848</v>
      </c>
      <c r="B155" s="25">
        <f>IFERROR(__xludf.DUMMYFUNCTION("SPLIT(A155,"","")"),261.0)</f>
        <v>261</v>
      </c>
      <c r="C155" s="25" t="str">
        <f>IFERROR(__xludf.DUMMYFUNCTION("""COMPUTED_VALUE"""),"মোহাঃ বাবর আলি")</f>
        <v>মোহাঃ বাবর আলি</v>
      </c>
      <c r="D155" s="25">
        <f>IFERROR(__xludf.DUMMYFUNCTION("""COMPUTED_VALUE"""),5.70156378314E11)</f>
        <v>570156378314</v>
      </c>
      <c r="E155" s="25" t="str">
        <f>IFERROR(__xludf.DUMMYFUNCTION("""COMPUTED_VALUE"""),"আব্দুল বারি")</f>
        <v>আব্দুল বারি</v>
      </c>
      <c r="F155" s="25" t="str">
        <f>IFERROR(__xludf.DUMMYFUNCTION("""COMPUTED_VALUE"""),"মোছাঃ সাহার বান")</f>
        <v>মোছাঃ সাহার বান</v>
      </c>
      <c r="G155" s="25" t="str">
        <f>IFERROR(__xludf.DUMMYFUNCTION("""COMPUTED_VALUE"""),"১০/০৩/১৯৭৭")</f>
        <v>১০/০৩/১৯৭৭</v>
      </c>
      <c r="H155" s="25" t="str">
        <f>IFERROR(__xludf.DUMMYFUNCTION("""COMPUTED_VALUE"""),"দিনমজুর")</f>
        <v>দিনমজুর</v>
      </c>
      <c r="I155" s="25" t="str">
        <f>IFERROR(__xludf.DUMMYFUNCTION("""COMPUTED_VALUE"""),"""জালশুকা")</f>
        <v>"জালশুকা</v>
      </c>
      <c r="J155" s="25" t="str">
        <f>IFERROR(__xludf.DUMMYFUNCTION("""COMPUTED_VALUE""")," গাংনী")</f>
        <v> গাংনী</v>
      </c>
      <c r="K155" s="25" t="str">
        <f>IFERROR(__xludf.DUMMYFUNCTION("""COMPUTED_VALUE""")," মেহেরপুর""")</f>
        <v> মেহেরপুর"</v>
      </c>
    </row>
    <row r="156">
      <c r="A156" s="24" t="s">
        <v>2849</v>
      </c>
      <c r="B156" s="25">
        <f>IFERROR(__xludf.DUMMYFUNCTION("SPLIT(A156,"","")"),262.0)</f>
        <v>262</v>
      </c>
      <c r="C156" s="25" t="str">
        <f>IFERROR(__xludf.DUMMYFUNCTION("""COMPUTED_VALUE"""),"মোঃ শরিফ উদ্দীন")</f>
        <v>মোঃ শরিফ উদ্দীন</v>
      </c>
      <c r="D156" s="25">
        <f>IFERROR(__xludf.DUMMYFUNCTION("""COMPUTED_VALUE"""),5.70156378317E11)</f>
        <v>570156378317</v>
      </c>
      <c r="E156" s="25" t="str">
        <f>IFERROR(__xludf.DUMMYFUNCTION("""COMPUTED_VALUE"""),"মোহাঃ আব্দুল বারি")</f>
        <v>মোহাঃ আব্দুল বারি</v>
      </c>
      <c r="F156" s="25" t="str">
        <f>IFERROR(__xludf.DUMMYFUNCTION("""COMPUTED_VALUE"""),"মোছাঃ সাহার বানু")</f>
        <v>মোছাঃ সাহার বানু</v>
      </c>
      <c r="G156" s="25" t="str">
        <f>IFERROR(__xludf.DUMMYFUNCTION("""COMPUTED_VALUE"""),"০৫/১১/১৯৮৭")</f>
        <v>০৫/১১/১৯৮৭</v>
      </c>
      <c r="H156" s="25" t="str">
        <f>IFERROR(__xludf.DUMMYFUNCTION("""COMPUTED_VALUE"""),"কৃষক")</f>
        <v>কৃষক</v>
      </c>
      <c r="I156" s="25" t="str">
        <f>IFERROR(__xludf.DUMMYFUNCTION("""COMPUTED_VALUE"""),"""জালশুকা")</f>
        <v>"জালশুকা</v>
      </c>
      <c r="J156" s="25" t="str">
        <f>IFERROR(__xludf.DUMMYFUNCTION("""COMPUTED_VALUE""")," গাংনী")</f>
        <v> গাংনী</v>
      </c>
      <c r="K156" s="25" t="str">
        <f>IFERROR(__xludf.DUMMYFUNCTION("""COMPUTED_VALUE""")," মেহেরপুর""")</f>
        <v> মেহেরপুর"</v>
      </c>
    </row>
    <row r="157">
      <c r="A157" s="24" t="s">
        <v>2850</v>
      </c>
      <c r="B157" s="25">
        <f>IFERROR(__xludf.DUMMYFUNCTION("SPLIT(A157,"","")"),263.0)</f>
        <v>263</v>
      </c>
      <c r="C157" s="25" t="str">
        <f>IFERROR(__xludf.DUMMYFUNCTION("""COMPUTED_VALUE"""),"মোঃ আব্দুল বারী")</f>
        <v>মোঃ আব্দুল বারী</v>
      </c>
      <c r="D157" s="25">
        <f>IFERROR(__xludf.DUMMYFUNCTION("""COMPUTED_VALUE"""),5.70156378319E11)</f>
        <v>570156378319</v>
      </c>
      <c r="E157" s="25" t="str">
        <f>IFERROR(__xludf.DUMMYFUNCTION("""COMPUTED_VALUE"""),"সিরাজ সর্দ্দার")</f>
        <v>সিরাজ সর্দ্দার</v>
      </c>
      <c r="F157" s="25" t="str">
        <f>IFERROR(__xludf.DUMMYFUNCTION("""COMPUTED_VALUE"""),"ফুলমতি")</f>
        <v>ফুলমতি</v>
      </c>
      <c r="G157" s="25" t="str">
        <f>IFERROR(__xludf.DUMMYFUNCTION("""COMPUTED_VALUE"""),"০৪/০৫/১৯৫৮")</f>
        <v>০৪/০৫/১৯৫৮</v>
      </c>
      <c r="H157" s="25" t="str">
        <f>IFERROR(__xludf.DUMMYFUNCTION("""COMPUTED_VALUE"""),"অন্যান্য")</f>
        <v>অন্যান্য</v>
      </c>
      <c r="I157" s="25" t="str">
        <f>IFERROR(__xludf.DUMMYFUNCTION("""COMPUTED_VALUE"""),"""জালশুকা")</f>
        <v>"জালশুকা</v>
      </c>
      <c r="J157" s="25" t="str">
        <f>IFERROR(__xludf.DUMMYFUNCTION("""COMPUTED_VALUE""")," গাংনী")</f>
        <v> গাংনী</v>
      </c>
      <c r="K157" s="25" t="str">
        <f>IFERROR(__xludf.DUMMYFUNCTION("""COMPUTED_VALUE""")," মেহেরপুর""")</f>
        <v> মেহেরপুর"</v>
      </c>
    </row>
    <row r="158">
      <c r="A158" s="24" t="s">
        <v>2851</v>
      </c>
      <c r="B158" s="25">
        <f>IFERROR(__xludf.DUMMYFUNCTION("SPLIT(A158,"","")"),264.0)</f>
        <v>264</v>
      </c>
      <c r="C158" s="25" t="str">
        <f>IFERROR(__xludf.DUMMYFUNCTION("""COMPUTED_VALUE"""),"মোঃ আব্দুল মালেক")</f>
        <v>মোঃ আব্দুল মালেক</v>
      </c>
      <c r="D158" s="25">
        <f>IFERROR(__xludf.DUMMYFUNCTION("""COMPUTED_VALUE"""),5.70156378321E11)</f>
        <v>570156378321</v>
      </c>
      <c r="E158" s="25" t="str">
        <f>IFERROR(__xludf.DUMMYFUNCTION("""COMPUTED_VALUE"""),"আবুবক্কর")</f>
        <v>আবুবক্কর</v>
      </c>
      <c r="F158" s="25" t="str">
        <f>IFERROR(__xludf.DUMMYFUNCTION("""COMPUTED_VALUE"""),"হালিমা")</f>
        <v>হালিমা</v>
      </c>
      <c r="G158" s="25" t="str">
        <f>IFERROR(__xludf.DUMMYFUNCTION("""COMPUTED_VALUE"""),"১১/১০/১৯৬৭")</f>
        <v>১১/১০/১৯৬৭</v>
      </c>
      <c r="H158" s="25" t="str">
        <f>IFERROR(__xludf.DUMMYFUNCTION("""COMPUTED_VALUE"""),"কৃষক")</f>
        <v>কৃষক</v>
      </c>
      <c r="I158" s="25" t="str">
        <f>IFERROR(__xludf.DUMMYFUNCTION("""COMPUTED_VALUE"""),"""জালশুকা")</f>
        <v>"জালশুকা</v>
      </c>
      <c r="J158" s="25" t="str">
        <f>IFERROR(__xludf.DUMMYFUNCTION("""COMPUTED_VALUE""")," গাংনী")</f>
        <v> গাংনী</v>
      </c>
      <c r="K158" s="25" t="str">
        <f>IFERROR(__xludf.DUMMYFUNCTION("""COMPUTED_VALUE""")," মেহেরপুর""")</f>
        <v> মেহেরপুর"</v>
      </c>
    </row>
    <row r="159">
      <c r="A159" s="24" t="s">
        <v>2852</v>
      </c>
      <c r="B159" s="25">
        <f>IFERROR(__xludf.DUMMYFUNCTION("SPLIT(A159,"","")"),265.0)</f>
        <v>265</v>
      </c>
      <c r="C159" s="25" t="str">
        <f>IFERROR(__xludf.DUMMYFUNCTION("""COMPUTED_VALUE"""),"মোহাঃ আরশেদ আলি")</f>
        <v>মোহাঃ আরশেদ আলি</v>
      </c>
      <c r="D159" s="25">
        <f>IFERROR(__xludf.DUMMYFUNCTION("""COMPUTED_VALUE"""),5.70156378323E11)</f>
        <v>570156378323</v>
      </c>
      <c r="E159" s="25" t="str">
        <f>IFERROR(__xludf.DUMMYFUNCTION("""COMPUTED_VALUE"""),"মোহাঃ আয়ুব আলি")</f>
        <v>মোহাঃ আয়ুব আলি</v>
      </c>
      <c r="F159" s="25" t="str">
        <f>IFERROR(__xludf.DUMMYFUNCTION("""COMPUTED_VALUE"""),"মোছাঃ মর্জিনা খাতুন")</f>
        <v>মোছাঃ মর্জিনা খাতুন</v>
      </c>
      <c r="G159" s="25" t="str">
        <f>IFERROR(__xludf.DUMMYFUNCTION("""COMPUTED_VALUE"""),"০৫/১২/১৯৮৬")</f>
        <v>০৫/১২/১৯৮৬</v>
      </c>
      <c r="H159" s="25" t="str">
        <f>IFERROR(__xludf.DUMMYFUNCTION("""COMPUTED_VALUE"""),"দিনমজুর")</f>
        <v>দিনমজুর</v>
      </c>
      <c r="I159" s="25" t="str">
        <f>IFERROR(__xludf.DUMMYFUNCTION("""COMPUTED_VALUE"""),"""জালশুকা")</f>
        <v>"জালশুকা</v>
      </c>
      <c r="J159" s="25" t="str">
        <f>IFERROR(__xludf.DUMMYFUNCTION("""COMPUTED_VALUE""")," গাংনী")</f>
        <v> গাংনী</v>
      </c>
      <c r="K159" s="25" t="str">
        <f>IFERROR(__xludf.DUMMYFUNCTION("""COMPUTED_VALUE""")," মেহেরপুর""")</f>
        <v> মেহেরপুর"</v>
      </c>
    </row>
    <row r="160">
      <c r="A160" s="24" t="s">
        <v>2853</v>
      </c>
      <c r="B160" s="25">
        <f>IFERROR(__xludf.DUMMYFUNCTION("SPLIT(A160,"","")"),266.0)</f>
        <v>266</v>
      </c>
      <c r="C160" s="25" t="str">
        <f>IFERROR(__xludf.DUMMYFUNCTION("""COMPUTED_VALUE"""),"মোহাঃ এনামুল হক")</f>
        <v>মোহাঃ এনামুল হক</v>
      </c>
      <c r="D160" s="25">
        <f>IFERROR(__xludf.DUMMYFUNCTION("""COMPUTED_VALUE"""),5.70156378324E11)</f>
        <v>570156378324</v>
      </c>
      <c r="E160" s="25" t="str">
        <f>IFERROR(__xludf.DUMMYFUNCTION("""COMPUTED_VALUE"""),"মোহাঃ ফাকের আলি")</f>
        <v>মোহাঃ ফাকের আলি</v>
      </c>
      <c r="F160" s="25" t="str">
        <f>IFERROR(__xludf.DUMMYFUNCTION("""COMPUTED_VALUE"""),"মোছাঃ আজিরন")</f>
        <v>মোছাঃ আজিরন</v>
      </c>
      <c r="G160" s="25" t="str">
        <f>IFERROR(__xludf.DUMMYFUNCTION("""COMPUTED_VALUE"""),"০৭/০১/১৯৬৮")</f>
        <v>০৭/০১/১৯৬৮</v>
      </c>
      <c r="H160" s="25" t="str">
        <f>IFERROR(__xludf.DUMMYFUNCTION("""COMPUTED_VALUE"""),"কৃষক")</f>
        <v>কৃষক</v>
      </c>
      <c r="I160" s="25" t="str">
        <f>IFERROR(__xludf.DUMMYFUNCTION("""COMPUTED_VALUE"""),"""জালশুকা")</f>
        <v>"জালশুকা</v>
      </c>
      <c r="J160" s="25" t="str">
        <f>IFERROR(__xludf.DUMMYFUNCTION("""COMPUTED_VALUE""")," গাংনী")</f>
        <v> গাংনী</v>
      </c>
      <c r="K160" s="25" t="str">
        <f>IFERROR(__xludf.DUMMYFUNCTION("""COMPUTED_VALUE""")," মেহেরপুর""")</f>
        <v> মেহেরপুর"</v>
      </c>
    </row>
    <row r="161">
      <c r="A161" s="24" t="s">
        <v>2854</v>
      </c>
      <c r="B161" s="25">
        <f>IFERROR(__xludf.DUMMYFUNCTION("SPLIT(A161,"","")"),267.0)</f>
        <v>267</v>
      </c>
      <c r="C161" s="25" t="str">
        <f>IFERROR(__xludf.DUMMYFUNCTION("""COMPUTED_VALUE"""),"মোহাঃ শফিকুল ইসলাম")</f>
        <v>মোহাঃ শফিকুল ইসলাম</v>
      </c>
      <c r="D161" s="25">
        <f>IFERROR(__xludf.DUMMYFUNCTION("""COMPUTED_VALUE"""),5.70156378326E11)</f>
        <v>570156378326</v>
      </c>
      <c r="E161" s="25" t="str">
        <f>IFERROR(__xludf.DUMMYFUNCTION("""COMPUTED_VALUE"""),"আব্দুল জলিল")</f>
        <v>আব্দুল জলিল</v>
      </c>
      <c r="F161" s="25" t="str">
        <f>IFERROR(__xludf.DUMMYFUNCTION("""COMPUTED_VALUE"""),"মোছাঃ তহুরা খাতুন")</f>
        <v>মোছাঃ তহুরা খাতুন</v>
      </c>
      <c r="G161" s="25" t="str">
        <f>IFERROR(__xludf.DUMMYFUNCTION("""COMPUTED_VALUE"""),"০২/০৭/১৯৪৬")</f>
        <v>০২/০৭/১৯৪৬</v>
      </c>
      <c r="H161" s="25" t="str">
        <f>IFERROR(__xludf.DUMMYFUNCTION("""COMPUTED_VALUE"""),"কৃষক")</f>
        <v>কৃষক</v>
      </c>
      <c r="I161" s="25" t="str">
        <f>IFERROR(__xludf.DUMMYFUNCTION("""COMPUTED_VALUE"""),"""জালশুকা")</f>
        <v>"জালশুকা</v>
      </c>
      <c r="J161" s="25" t="str">
        <f>IFERROR(__xludf.DUMMYFUNCTION("""COMPUTED_VALUE""")," গাংনী")</f>
        <v> গাংনী</v>
      </c>
      <c r="K161" s="25" t="str">
        <f>IFERROR(__xludf.DUMMYFUNCTION("""COMPUTED_VALUE""")," মেহেরপুর""")</f>
        <v> মেহেরপুর"</v>
      </c>
    </row>
    <row r="162">
      <c r="B162" s="25" t="str">
        <f>IFERROR(__xludf.DUMMYFUNCTION("SPLIT(A162,"","")"),"#VALUE!")</f>
        <v>#VALUE!</v>
      </c>
    </row>
    <row r="163">
      <c r="B163" s="25" t="str">
        <f>IFERROR(__xludf.DUMMYFUNCTION("SPLIT(A163,"","")"),"#VALUE!")</f>
        <v>#VALUE!</v>
      </c>
    </row>
    <row r="164">
      <c r="B164" s="25" t="str">
        <f>IFERROR(__xludf.DUMMYFUNCTION("SPLIT(A164,"","")"),"#VALUE!")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0</v>
      </c>
      <c r="B1" s="3" t="s">
        <v>1</v>
      </c>
      <c r="C1" s="3" t="s">
        <v>3</v>
      </c>
      <c r="D1" s="3" t="s">
        <v>4</v>
      </c>
      <c r="E1" s="3" t="s">
        <v>2</v>
      </c>
      <c r="F1" s="3" t="s">
        <v>5</v>
      </c>
      <c r="G1" s="3" t="s">
        <v>6</v>
      </c>
      <c r="H1" s="3" t="s">
        <v>7</v>
      </c>
      <c r="I1" s="3"/>
      <c r="J1" s="3"/>
    </row>
    <row r="2">
      <c r="A2" s="10">
        <v>322.0</v>
      </c>
      <c r="B2" s="3" t="s">
        <v>987</v>
      </c>
      <c r="C2" s="3" t="s">
        <v>989</v>
      </c>
      <c r="D2" s="10">
        <v>5.7005637849E11</v>
      </c>
      <c r="E2" s="3" t="s">
        <v>988</v>
      </c>
      <c r="F2" s="3" t="s">
        <v>990</v>
      </c>
      <c r="G2" s="3" t="s">
        <v>12</v>
      </c>
      <c r="H2" s="12" t="s">
        <v>13</v>
      </c>
      <c r="I2" s="3"/>
      <c r="J2" s="3"/>
    </row>
    <row r="3">
      <c r="A3" s="10">
        <v>323.0</v>
      </c>
      <c r="B3" s="3" t="s">
        <v>991</v>
      </c>
      <c r="C3" s="3" t="s">
        <v>993</v>
      </c>
      <c r="D3" s="10">
        <v>5.70056378494E11</v>
      </c>
      <c r="E3" s="3" t="s">
        <v>992</v>
      </c>
      <c r="F3" s="3" t="s">
        <v>994</v>
      </c>
      <c r="G3" s="3" t="s">
        <v>12</v>
      </c>
      <c r="H3" s="12" t="s">
        <v>13</v>
      </c>
      <c r="I3" s="3"/>
      <c r="J3" s="3"/>
    </row>
    <row r="4">
      <c r="A4" s="10">
        <v>324.0</v>
      </c>
      <c r="B4" s="3" t="s">
        <v>478</v>
      </c>
      <c r="C4" s="3" t="s">
        <v>996</v>
      </c>
      <c r="D4" s="10">
        <v>5.70056378499E11</v>
      </c>
      <c r="E4" s="3" t="s">
        <v>995</v>
      </c>
      <c r="F4" s="3" t="s">
        <v>997</v>
      </c>
      <c r="G4" s="3" t="s">
        <v>12</v>
      </c>
      <c r="H4" s="12" t="s">
        <v>13</v>
      </c>
      <c r="I4" s="3"/>
      <c r="J4" s="3"/>
    </row>
    <row r="5">
      <c r="A5" s="10">
        <v>325.0</v>
      </c>
      <c r="B5" s="3" t="s">
        <v>998</v>
      </c>
      <c r="C5" s="3" t="s">
        <v>68</v>
      </c>
      <c r="D5" s="10">
        <v>5.700563785E11</v>
      </c>
      <c r="E5" s="3" t="s">
        <v>999</v>
      </c>
      <c r="F5" s="3" t="s">
        <v>1000</v>
      </c>
      <c r="G5" s="3" t="s">
        <v>12</v>
      </c>
      <c r="H5" s="12" t="s">
        <v>13</v>
      </c>
      <c r="I5" s="3"/>
      <c r="J5" s="3"/>
    </row>
    <row r="6">
      <c r="A6" s="10">
        <v>326.0</v>
      </c>
      <c r="B6" s="3" t="s">
        <v>1001</v>
      </c>
      <c r="C6" s="3" t="s">
        <v>1003</v>
      </c>
      <c r="D6" s="10">
        <v>5.70056378502E11</v>
      </c>
      <c r="E6" s="3" t="s">
        <v>1002</v>
      </c>
      <c r="F6" s="3" t="s">
        <v>1004</v>
      </c>
      <c r="G6" s="3" t="s">
        <v>197</v>
      </c>
      <c r="H6" s="12" t="s">
        <v>13</v>
      </c>
      <c r="I6" s="3"/>
      <c r="J6" s="3"/>
    </row>
    <row r="7">
      <c r="A7" s="10">
        <v>327.0</v>
      </c>
      <c r="B7" s="3" t="s">
        <v>1005</v>
      </c>
      <c r="C7" s="3" t="s">
        <v>1006</v>
      </c>
      <c r="D7" s="10">
        <v>5.70056378504E11</v>
      </c>
      <c r="E7" s="3" t="s">
        <v>920</v>
      </c>
      <c r="F7" s="3" t="s">
        <v>1007</v>
      </c>
      <c r="G7" s="3" t="s">
        <v>62</v>
      </c>
      <c r="H7" s="12" t="s">
        <v>13</v>
      </c>
      <c r="I7" s="3"/>
      <c r="J7" s="3"/>
    </row>
    <row r="8">
      <c r="A8" s="10">
        <v>328.0</v>
      </c>
      <c r="B8" s="3" t="s">
        <v>1008</v>
      </c>
      <c r="C8" s="3" t="s">
        <v>1010</v>
      </c>
      <c r="D8" s="10">
        <v>5.70056378506E11</v>
      </c>
      <c r="E8" s="3" t="s">
        <v>1009</v>
      </c>
      <c r="F8" s="3" t="s">
        <v>1011</v>
      </c>
      <c r="G8" s="3" t="s">
        <v>197</v>
      </c>
      <c r="H8" s="12" t="s">
        <v>13</v>
      </c>
      <c r="I8" s="3"/>
      <c r="J8" s="3"/>
    </row>
    <row r="9">
      <c r="A9" s="10">
        <v>329.0</v>
      </c>
      <c r="B9" s="3" t="s">
        <v>910</v>
      </c>
      <c r="C9" s="3" t="s">
        <v>894</v>
      </c>
      <c r="D9" s="10">
        <v>5.70056378507E11</v>
      </c>
      <c r="E9" s="3" t="s">
        <v>893</v>
      </c>
      <c r="F9" s="3" t="s">
        <v>17</v>
      </c>
      <c r="G9" s="3" t="s">
        <v>12</v>
      </c>
      <c r="H9" s="12" t="s">
        <v>13</v>
      </c>
      <c r="I9" s="3"/>
      <c r="J9" s="3"/>
    </row>
    <row r="10">
      <c r="A10" s="10">
        <v>330.0</v>
      </c>
      <c r="B10" s="3" t="s">
        <v>1012</v>
      </c>
      <c r="C10" s="3" t="s">
        <v>1014</v>
      </c>
      <c r="D10" s="10">
        <v>5.70056378508E11</v>
      </c>
      <c r="E10" s="3" t="s">
        <v>1013</v>
      </c>
      <c r="F10" s="3" t="s">
        <v>1015</v>
      </c>
      <c r="G10" s="3" t="s">
        <v>50</v>
      </c>
      <c r="H10" s="12" t="s">
        <v>13</v>
      </c>
      <c r="I10" s="3"/>
      <c r="J10" s="3"/>
    </row>
    <row r="11">
      <c r="A11" s="10">
        <v>331.0</v>
      </c>
      <c r="B11" s="3" t="s">
        <v>1016</v>
      </c>
      <c r="C11" s="3" t="s">
        <v>1018</v>
      </c>
      <c r="D11" s="10">
        <v>5.70056378509E11</v>
      </c>
      <c r="E11" s="3" t="s">
        <v>1017</v>
      </c>
      <c r="F11" s="3" t="s">
        <v>1019</v>
      </c>
      <c r="G11" s="3" t="s">
        <v>50</v>
      </c>
      <c r="H11" s="12" t="s">
        <v>13</v>
      </c>
      <c r="I11" s="3"/>
      <c r="J11" s="3"/>
    </row>
    <row r="12">
      <c r="A12" s="10">
        <v>332.0</v>
      </c>
      <c r="B12" s="3" t="s">
        <v>1020</v>
      </c>
      <c r="C12" s="3" t="s">
        <v>1022</v>
      </c>
      <c r="D12" s="10">
        <v>5.7005637851E11</v>
      </c>
      <c r="E12" s="3" t="s">
        <v>1021</v>
      </c>
      <c r="F12" s="3" t="s">
        <v>1023</v>
      </c>
      <c r="G12" s="3" t="s">
        <v>12</v>
      </c>
      <c r="H12" s="12" t="s">
        <v>13</v>
      </c>
      <c r="I12" s="3"/>
      <c r="J12" s="3"/>
    </row>
    <row r="13">
      <c r="A13" s="10">
        <v>333.0</v>
      </c>
      <c r="B13" s="3" t="s">
        <v>1024</v>
      </c>
      <c r="C13" s="3" t="s">
        <v>1026</v>
      </c>
      <c r="D13" s="10">
        <v>5.70056378514E11</v>
      </c>
      <c r="E13" s="3" t="s">
        <v>1025</v>
      </c>
      <c r="F13" s="3" t="s">
        <v>1027</v>
      </c>
      <c r="G13" s="3" t="s">
        <v>12</v>
      </c>
      <c r="H13" s="12" t="s">
        <v>13</v>
      </c>
      <c r="I13" s="3"/>
      <c r="J13" s="3"/>
    </row>
    <row r="14">
      <c r="A14" s="10">
        <v>334.0</v>
      </c>
      <c r="B14" s="3" t="s">
        <v>1028</v>
      </c>
      <c r="C14" s="3" t="s">
        <v>1029</v>
      </c>
      <c r="D14" s="10">
        <v>5.70056378516E11</v>
      </c>
      <c r="E14" s="3" t="s">
        <v>1025</v>
      </c>
      <c r="F14" s="3" t="s">
        <v>1030</v>
      </c>
      <c r="G14" s="3" t="s">
        <v>12</v>
      </c>
      <c r="H14" s="12" t="s">
        <v>13</v>
      </c>
      <c r="I14" s="3"/>
      <c r="J14" s="3"/>
    </row>
    <row r="15">
      <c r="A15" s="10">
        <v>335.0</v>
      </c>
      <c r="B15" s="3" t="s">
        <v>893</v>
      </c>
      <c r="C15" s="3" t="s">
        <v>894</v>
      </c>
      <c r="D15" s="10">
        <v>5.70056378517E11</v>
      </c>
      <c r="E15" s="3" t="s">
        <v>584</v>
      </c>
      <c r="F15" s="3" t="s">
        <v>1031</v>
      </c>
      <c r="G15" s="3" t="s">
        <v>62</v>
      </c>
      <c r="H15" s="12" t="s">
        <v>13</v>
      </c>
      <c r="I15" s="3"/>
      <c r="J15" s="3"/>
    </row>
    <row r="16">
      <c r="A16" s="10">
        <v>336.0</v>
      </c>
      <c r="B16" s="3" t="s">
        <v>1032</v>
      </c>
      <c r="C16" s="3" t="s">
        <v>1034</v>
      </c>
      <c r="D16" s="10">
        <v>5.70056378522E11</v>
      </c>
      <c r="E16" s="3" t="s">
        <v>1033</v>
      </c>
      <c r="F16" s="3" t="s">
        <v>1035</v>
      </c>
      <c r="G16" s="3" t="s">
        <v>62</v>
      </c>
      <c r="H16" s="12" t="s">
        <v>13</v>
      </c>
      <c r="I16" s="3"/>
      <c r="J16" s="3"/>
    </row>
    <row r="17">
      <c r="A17" s="10">
        <v>337.0</v>
      </c>
      <c r="B17" s="3" t="s">
        <v>1036</v>
      </c>
      <c r="C17" s="3" t="s">
        <v>1038</v>
      </c>
      <c r="D17" s="10">
        <v>5.70056378527E11</v>
      </c>
      <c r="E17" s="3" t="s">
        <v>1037</v>
      </c>
      <c r="F17" s="3" t="s">
        <v>17</v>
      </c>
      <c r="G17" s="3" t="s">
        <v>62</v>
      </c>
      <c r="H17" s="12" t="s">
        <v>13</v>
      </c>
      <c r="I17" s="3"/>
      <c r="J17" s="3"/>
    </row>
    <row r="18">
      <c r="A18" s="10">
        <v>338.0</v>
      </c>
      <c r="B18" s="3" t="s">
        <v>1039</v>
      </c>
      <c r="C18" s="3" t="s">
        <v>1041</v>
      </c>
      <c r="D18" s="10">
        <v>5.70056378528E11</v>
      </c>
      <c r="E18" s="3" t="s">
        <v>1040</v>
      </c>
      <c r="F18" s="3" t="s">
        <v>730</v>
      </c>
      <c r="G18" s="3" t="s">
        <v>197</v>
      </c>
      <c r="H18" s="12" t="s">
        <v>13</v>
      </c>
      <c r="I18" s="3"/>
      <c r="J18" s="3"/>
    </row>
    <row r="19">
      <c r="A19" s="10">
        <v>339.0</v>
      </c>
      <c r="B19" s="3" t="s">
        <v>1042</v>
      </c>
      <c r="C19" s="3" t="s">
        <v>1044</v>
      </c>
      <c r="D19" s="10">
        <v>5.70056378529E11</v>
      </c>
      <c r="E19" s="3" t="s">
        <v>1043</v>
      </c>
      <c r="F19" s="3" t="s">
        <v>1007</v>
      </c>
      <c r="G19" s="3" t="s">
        <v>197</v>
      </c>
      <c r="H19" s="12" t="s">
        <v>13</v>
      </c>
      <c r="I19" s="3"/>
      <c r="J19" s="3"/>
    </row>
    <row r="20">
      <c r="A20" s="10">
        <v>340.0</v>
      </c>
      <c r="B20" s="3" t="s">
        <v>1045</v>
      </c>
      <c r="C20" s="3" t="s">
        <v>1047</v>
      </c>
      <c r="D20" s="10">
        <v>5.7005637854E11</v>
      </c>
      <c r="E20" s="3" t="s">
        <v>1046</v>
      </c>
      <c r="F20" s="3" t="s">
        <v>1048</v>
      </c>
      <c r="G20" s="3" t="s">
        <v>12</v>
      </c>
      <c r="H20" s="12" t="s">
        <v>13</v>
      </c>
      <c r="I20" s="3"/>
      <c r="J20" s="3"/>
    </row>
    <row r="21">
      <c r="A21" s="10">
        <v>341.0</v>
      </c>
      <c r="B21" s="3" t="s">
        <v>797</v>
      </c>
      <c r="C21" s="3" t="s">
        <v>1050</v>
      </c>
      <c r="D21" s="10">
        <v>5.70056378543E11</v>
      </c>
      <c r="E21" s="3" t="s">
        <v>1049</v>
      </c>
      <c r="F21" s="3" t="s">
        <v>1051</v>
      </c>
      <c r="G21" s="3" t="s">
        <v>12</v>
      </c>
      <c r="H21" s="12" t="s">
        <v>13</v>
      </c>
      <c r="I21" s="3"/>
      <c r="J21" s="3"/>
    </row>
    <row r="22">
      <c r="A22" s="10">
        <v>342.0</v>
      </c>
      <c r="B22" s="3" t="s">
        <v>1052</v>
      </c>
      <c r="C22" s="3" t="s">
        <v>996</v>
      </c>
      <c r="D22" s="10">
        <v>5.70056378545E11</v>
      </c>
      <c r="E22" s="3" t="s">
        <v>995</v>
      </c>
      <c r="F22" s="3" t="s">
        <v>1053</v>
      </c>
      <c r="G22" s="3" t="s">
        <v>12</v>
      </c>
      <c r="H22" s="12" t="s">
        <v>13</v>
      </c>
      <c r="I22" s="3"/>
      <c r="J22" s="3"/>
    </row>
    <row r="23">
      <c r="A23" s="10">
        <v>343.0</v>
      </c>
      <c r="B23" s="3" t="s">
        <v>1054</v>
      </c>
      <c r="C23" s="3" t="s">
        <v>1056</v>
      </c>
      <c r="D23" s="10">
        <v>5.70056378551E11</v>
      </c>
      <c r="E23" s="3" t="s">
        <v>1055</v>
      </c>
      <c r="F23" s="3" t="s">
        <v>1057</v>
      </c>
      <c r="G23" s="3" t="s">
        <v>12</v>
      </c>
      <c r="H23" s="12" t="s">
        <v>13</v>
      </c>
      <c r="I23" s="3"/>
      <c r="J23" s="3"/>
    </row>
    <row r="24">
      <c r="A24" s="10">
        <v>344.0</v>
      </c>
      <c r="B24" s="3" t="s">
        <v>1058</v>
      </c>
      <c r="C24" s="3" t="s">
        <v>1060</v>
      </c>
      <c r="D24" s="10">
        <v>5.70056378555E11</v>
      </c>
      <c r="E24" s="3" t="s">
        <v>1059</v>
      </c>
      <c r="F24" s="3" t="s">
        <v>895</v>
      </c>
      <c r="G24" s="3" t="s">
        <v>12</v>
      </c>
      <c r="H24" s="12" t="s">
        <v>13</v>
      </c>
      <c r="I24" s="3"/>
      <c r="J24" s="3"/>
    </row>
    <row r="25">
      <c r="A25" s="10">
        <v>345.0</v>
      </c>
      <c r="B25" s="3" t="s">
        <v>9</v>
      </c>
      <c r="C25" s="3" t="s">
        <v>1062</v>
      </c>
      <c r="D25" s="10">
        <v>5.70056378557E11</v>
      </c>
      <c r="E25" s="3" t="s">
        <v>1061</v>
      </c>
      <c r="F25" s="3" t="s">
        <v>1063</v>
      </c>
      <c r="G25" s="3" t="s">
        <v>12</v>
      </c>
      <c r="H25" s="12" t="s">
        <v>13</v>
      </c>
      <c r="I25" s="3"/>
      <c r="J25" s="3"/>
    </row>
    <row r="26">
      <c r="A26" s="10">
        <v>346.0</v>
      </c>
      <c r="B26" s="3" t="s">
        <v>844</v>
      </c>
      <c r="C26" s="3" t="s">
        <v>243</v>
      </c>
      <c r="D26" s="10">
        <v>5.70056378558E11</v>
      </c>
      <c r="E26" s="3" t="s">
        <v>1064</v>
      </c>
      <c r="F26" s="3" t="s">
        <v>1065</v>
      </c>
      <c r="G26" s="3" t="s">
        <v>12</v>
      </c>
      <c r="H26" s="12" t="s">
        <v>13</v>
      </c>
      <c r="I26" s="3"/>
      <c r="J26" s="3"/>
    </row>
    <row r="27">
      <c r="A27" s="10">
        <v>347.0</v>
      </c>
      <c r="B27" s="3" t="s">
        <v>136</v>
      </c>
      <c r="C27" s="3" t="s">
        <v>1067</v>
      </c>
      <c r="D27" s="10">
        <v>5.70056378559E11</v>
      </c>
      <c r="E27" s="3" t="s">
        <v>1066</v>
      </c>
      <c r="F27" s="3" t="s">
        <v>1068</v>
      </c>
      <c r="G27" s="3" t="s">
        <v>12</v>
      </c>
      <c r="H27" s="12" t="s">
        <v>13</v>
      </c>
      <c r="I27" s="3"/>
      <c r="J27" s="3"/>
    </row>
    <row r="28">
      <c r="A28" s="10">
        <v>348.0</v>
      </c>
      <c r="B28" s="3" t="s">
        <v>1069</v>
      </c>
      <c r="C28" s="3" t="s">
        <v>662</v>
      </c>
      <c r="D28" s="10">
        <v>5.7005637856E11</v>
      </c>
      <c r="E28" s="3" t="s">
        <v>1070</v>
      </c>
      <c r="F28" s="3" t="s">
        <v>793</v>
      </c>
      <c r="G28" s="3" t="s">
        <v>12</v>
      </c>
      <c r="H28" s="12" t="s">
        <v>13</v>
      </c>
      <c r="I28" s="3"/>
      <c r="J28" s="3"/>
    </row>
    <row r="29">
      <c r="A29" s="10">
        <v>349.0</v>
      </c>
      <c r="B29" s="3" t="s">
        <v>1071</v>
      </c>
      <c r="C29" s="3" t="s">
        <v>662</v>
      </c>
      <c r="D29" s="10">
        <v>5.70056378561E11</v>
      </c>
      <c r="E29" s="3" t="s">
        <v>1072</v>
      </c>
      <c r="F29" s="3" t="s">
        <v>1073</v>
      </c>
      <c r="G29" s="3" t="s">
        <v>12</v>
      </c>
      <c r="H29" s="12" t="s">
        <v>13</v>
      </c>
      <c r="I29" s="3"/>
      <c r="J29" s="3"/>
    </row>
    <row r="30">
      <c r="A30" s="10">
        <v>350.0</v>
      </c>
      <c r="B30" s="3" t="s">
        <v>1074</v>
      </c>
      <c r="C30" s="3" t="s">
        <v>1076</v>
      </c>
      <c r="D30" s="10">
        <v>5.70056378562E11</v>
      </c>
      <c r="E30" s="3" t="s">
        <v>1075</v>
      </c>
      <c r="F30" s="3" t="s">
        <v>1077</v>
      </c>
      <c r="G30" s="3" t="s">
        <v>197</v>
      </c>
      <c r="H30" s="12" t="s">
        <v>13</v>
      </c>
      <c r="I30" s="3"/>
      <c r="J30" s="3"/>
    </row>
    <row r="31">
      <c r="A31" s="10">
        <v>351.0</v>
      </c>
      <c r="B31" s="3" t="s">
        <v>52</v>
      </c>
      <c r="C31" s="3" t="s">
        <v>21</v>
      </c>
      <c r="D31" s="10">
        <v>5.70056378563E11</v>
      </c>
      <c r="E31" s="3" t="s">
        <v>1078</v>
      </c>
      <c r="F31" s="3" t="s">
        <v>1079</v>
      </c>
      <c r="G31" s="3" t="s">
        <v>12</v>
      </c>
      <c r="H31" s="12" t="s">
        <v>13</v>
      </c>
      <c r="I31" s="3"/>
      <c r="J31" s="3"/>
    </row>
    <row r="32">
      <c r="A32" s="10">
        <v>352.0</v>
      </c>
      <c r="B32" s="3" t="s">
        <v>914</v>
      </c>
      <c r="C32" s="3" t="s">
        <v>1080</v>
      </c>
      <c r="D32" s="10">
        <v>5.70056378564E11</v>
      </c>
      <c r="E32" s="3" t="s">
        <v>924</v>
      </c>
      <c r="F32" s="3" t="s">
        <v>1081</v>
      </c>
      <c r="G32" s="3" t="s">
        <v>197</v>
      </c>
      <c r="H32" s="12" t="s">
        <v>13</v>
      </c>
      <c r="I32" s="3"/>
      <c r="J32" s="3"/>
    </row>
    <row r="33">
      <c r="A33" s="10">
        <v>353.0</v>
      </c>
      <c r="B33" s="3" t="s">
        <v>1082</v>
      </c>
      <c r="C33" s="3" t="s">
        <v>1084</v>
      </c>
      <c r="D33" s="10">
        <v>5.70056378565E11</v>
      </c>
      <c r="E33" s="3" t="s">
        <v>1083</v>
      </c>
      <c r="F33" s="3" t="s">
        <v>1085</v>
      </c>
      <c r="G33" s="3" t="s">
        <v>12</v>
      </c>
      <c r="H33" s="12" t="s">
        <v>13</v>
      </c>
      <c r="I33" s="3"/>
      <c r="J33" s="3"/>
    </row>
    <row r="34">
      <c r="A34" s="10">
        <v>354.0</v>
      </c>
      <c r="B34" s="3" t="s">
        <v>1086</v>
      </c>
      <c r="C34" s="3" t="s">
        <v>226</v>
      </c>
      <c r="D34" s="10">
        <v>5.70056378566E11</v>
      </c>
      <c r="E34" s="3" t="s">
        <v>1087</v>
      </c>
      <c r="F34" s="3" t="s">
        <v>1088</v>
      </c>
      <c r="G34" s="3" t="s">
        <v>62</v>
      </c>
      <c r="H34" s="12" t="s">
        <v>13</v>
      </c>
      <c r="I34" s="3"/>
      <c r="J34" s="3"/>
    </row>
    <row r="35">
      <c r="A35" s="10">
        <v>355.0</v>
      </c>
      <c r="B35" s="3" t="s">
        <v>1089</v>
      </c>
      <c r="C35" s="3" t="s">
        <v>1091</v>
      </c>
      <c r="D35" s="10">
        <v>5.70056378567E11</v>
      </c>
      <c r="E35" s="3" t="s">
        <v>1090</v>
      </c>
      <c r="F35" s="3" t="s">
        <v>1092</v>
      </c>
      <c r="G35" s="3" t="s">
        <v>12</v>
      </c>
      <c r="H35" s="12" t="s">
        <v>13</v>
      </c>
      <c r="I35" s="3"/>
      <c r="J35" s="3"/>
    </row>
    <row r="36">
      <c r="A36" s="10">
        <v>356.0</v>
      </c>
      <c r="B36" s="3" t="s">
        <v>1013</v>
      </c>
      <c r="C36" s="3" t="s">
        <v>959</v>
      </c>
      <c r="D36" s="10">
        <v>5.70056378568E11</v>
      </c>
      <c r="E36" s="3" t="s">
        <v>1093</v>
      </c>
      <c r="F36" s="3" t="s">
        <v>1094</v>
      </c>
      <c r="G36" s="3" t="s">
        <v>12</v>
      </c>
      <c r="H36" s="12" t="s">
        <v>13</v>
      </c>
      <c r="I36" s="3"/>
      <c r="J36" s="3"/>
    </row>
    <row r="37">
      <c r="A37" s="10">
        <v>357.0</v>
      </c>
      <c r="B37" s="3" t="s">
        <v>1095</v>
      </c>
      <c r="C37" s="3" t="s">
        <v>1097</v>
      </c>
      <c r="D37" s="10">
        <v>5.70056378569E11</v>
      </c>
      <c r="E37" s="3" t="s">
        <v>1096</v>
      </c>
      <c r="F37" s="3" t="s">
        <v>1098</v>
      </c>
      <c r="G37" s="3" t="s">
        <v>12</v>
      </c>
      <c r="H37" s="12" t="s">
        <v>13</v>
      </c>
      <c r="I37" s="3"/>
      <c r="J37" s="3"/>
    </row>
    <row r="38">
      <c r="A38" s="10">
        <v>358.0</v>
      </c>
      <c r="B38" s="3" t="s">
        <v>1099</v>
      </c>
      <c r="C38" s="3" t="s">
        <v>1101</v>
      </c>
      <c r="D38" s="10">
        <v>5.7005637857E11</v>
      </c>
      <c r="E38" s="3" t="s">
        <v>1100</v>
      </c>
      <c r="F38" s="3" t="s">
        <v>1102</v>
      </c>
      <c r="G38" s="3" t="s">
        <v>12</v>
      </c>
      <c r="H38" s="12" t="s">
        <v>13</v>
      </c>
      <c r="I38" s="3"/>
      <c r="J38" s="3"/>
    </row>
    <row r="39">
      <c r="A39" s="10">
        <v>359.0</v>
      </c>
      <c r="B39" s="3" t="s">
        <v>1103</v>
      </c>
      <c r="C39" s="3" t="s">
        <v>1105</v>
      </c>
      <c r="D39" s="10">
        <v>5.70056378572E11</v>
      </c>
      <c r="E39" s="3" t="s">
        <v>1104</v>
      </c>
      <c r="F39" s="3" t="s">
        <v>1106</v>
      </c>
      <c r="G39" s="3" t="s">
        <v>12</v>
      </c>
      <c r="H39" s="12" t="s">
        <v>13</v>
      </c>
      <c r="I39" s="3"/>
      <c r="J39" s="3"/>
    </row>
    <row r="40">
      <c r="A40" s="10">
        <v>360.0</v>
      </c>
      <c r="B40" s="3" t="s">
        <v>787</v>
      </c>
      <c r="C40" s="3" t="s">
        <v>816</v>
      </c>
      <c r="D40" s="10">
        <v>5.70056378573E11</v>
      </c>
      <c r="E40" s="3" t="s">
        <v>1107</v>
      </c>
      <c r="F40" s="3" t="s">
        <v>1108</v>
      </c>
      <c r="G40" s="3" t="s">
        <v>12</v>
      </c>
      <c r="H40" s="12" t="s">
        <v>13</v>
      </c>
      <c r="I40" s="3"/>
      <c r="J40" s="3"/>
    </row>
    <row r="41">
      <c r="A41" s="10">
        <v>361.0</v>
      </c>
      <c r="B41" s="3" t="s">
        <v>205</v>
      </c>
      <c r="C41" s="3" t="s">
        <v>1109</v>
      </c>
      <c r="D41" s="10">
        <v>5.70056378574E11</v>
      </c>
      <c r="E41" s="3" t="s">
        <v>982</v>
      </c>
      <c r="F41" s="3" t="s">
        <v>1110</v>
      </c>
      <c r="G41" s="3" t="s">
        <v>12</v>
      </c>
      <c r="H41" s="12" t="s">
        <v>13</v>
      </c>
      <c r="I41" s="3"/>
      <c r="J41" s="3"/>
    </row>
    <row r="42">
      <c r="A42" s="10">
        <v>362.0</v>
      </c>
      <c r="B42" s="3" t="s">
        <v>1111</v>
      </c>
      <c r="C42" s="3" t="s">
        <v>1105</v>
      </c>
      <c r="D42" s="10">
        <v>5.70056378577E11</v>
      </c>
      <c r="E42" s="3" t="s">
        <v>1112</v>
      </c>
      <c r="F42" s="3" t="s">
        <v>1113</v>
      </c>
      <c r="G42" s="3" t="s">
        <v>12</v>
      </c>
      <c r="H42" s="12" t="s">
        <v>13</v>
      </c>
      <c r="I42" s="3"/>
      <c r="J42" s="3"/>
    </row>
    <row r="43">
      <c r="A43" s="10">
        <v>363.0</v>
      </c>
      <c r="B43" s="3" t="s">
        <v>1114</v>
      </c>
      <c r="C43" s="3" t="s">
        <v>1116</v>
      </c>
      <c r="D43" s="10">
        <v>5.70056378578E11</v>
      </c>
      <c r="E43" s="3" t="s">
        <v>1115</v>
      </c>
      <c r="F43" s="3" t="s">
        <v>1117</v>
      </c>
      <c r="G43" s="3" t="s">
        <v>12</v>
      </c>
      <c r="H43" s="12" t="s">
        <v>13</v>
      </c>
      <c r="I43" s="3"/>
      <c r="J43" s="3"/>
    </row>
    <row r="44">
      <c r="A44" s="10">
        <v>364.0</v>
      </c>
      <c r="B44" s="3" t="s">
        <v>1118</v>
      </c>
      <c r="C44" s="3" t="s">
        <v>1120</v>
      </c>
      <c r="D44" s="10">
        <v>5.70056378579E11</v>
      </c>
      <c r="E44" s="3" t="s">
        <v>1119</v>
      </c>
      <c r="F44" s="3" t="s">
        <v>1121</v>
      </c>
      <c r="G44" s="3" t="s">
        <v>12</v>
      </c>
      <c r="H44" s="12" t="s">
        <v>13</v>
      </c>
      <c r="I44" s="3"/>
      <c r="J44" s="3"/>
    </row>
    <row r="45">
      <c r="A45" s="10">
        <v>365.0</v>
      </c>
      <c r="B45" s="3" t="s">
        <v>1122</v>
      </c>
      <c r="C45" s="3" t="s">
        <v>1124</v>
      </c>
      <c r="D45" s="10">
        <v>5.70056378581E11</v>
      </c>
      <c r="E45" s="3" t="s">
        <v>1123</v>
      </c>
      <c r="F45" s="3" t="s">
        <v>953</v>
      </c>
      <c r="G45" s="3" t="s">
        <v>12</v>
      </c>
      <c r="H45" s="12" t="s">
        <v>13</v>
      </c>
      <c r="I45" s="3"/>
      <c r="J45" s="3"/>
    </row>
    <row r="46">
      <c r="A46" s="10">
        <v>366.0</v>
      </c>
      <c r="B46" s="3" t="s">
        <v>1125</v>
      </c>
      <c r="C46" s="3" t="s">
        <v>850</v>
      </c>
      <c r="D46" s="10">
        <v>5.70056378583E11</v>
      </c>
      <c r="E46" s="3" t="s">
        <v>849</v>
      </c>
      <c r="F46" s="3" t="s">
        <v>1126</v>
      </c>
      <c r="G46" s="3" t="s">
        <v>12</v>
      </c>
      <c r="H46" s="12" t="s">
        <v>13</v>
      </c>
      <c r="I46" s="3"/>
      <c r="J46" s="3"/>
    </row>
    <row r="47">
      <c r="A47" s="10">
        <v>367.0</v>
      </c>
      <c r="B47" s="3" t="s">
        <v>1127</v>
      </c>
      <c r="C47" s="3" t="s">
        <v>1129</v>
      </c>
      <c r="D47" s="10">
        <v>5.70056378584E11</v>
      </c>
      <c r="E47" s="3" t="s">
        <v>1128</v>
      </c>
      <c r="F47" s="3" t="s">
        <v>1130</v>
      </c>
      <c r="G47" s="3" t="s">
        <v>12</v>
      </c>
      <c r="H47" s="12" t="s">
        <v>13</v>
      </c>
      <c r="I47" s="3"/>
      <c r="J47" s="3"/>
    </row>
    <row r="48">
      <c r="A48" s="10">
        <v>368.0</v>
      </c>
      <c r="B48" s="3" t="s">
        <v>1131</v>
      </c>
      <c r="C48" s="3" t="s">
        <v>325</v>
      </c>
      <c r="D48" s="10">
        <v>5.70056378585E11</v>
      </c>
      <c r="E48" s="3" t="s">
        <v>853</v>
      </c>
      <c r="F48" s="3" t="s">
        <v>1132</v>
      </c>
      <c r="G48" s="3" t="s">
        <v>12</v>
      </c>
      <c r="H48" s="12" t="s">
        <v>13</v>
      </c>
      <c r="I48" s="3"/>
      <c r="J48" s="3"/>
    </row>
    <row r="49">
      <c r="A49" s="10">
        <v>369.0</v>
      </c>
      <c r="B49" s="3" t="s">
        <v>1133</v>
      </c>
      <c r="C49" s="3" t="s">
        <v>1135</v>
      </c>
      <c r="D49" s="10">
        <v>5.70056378586E11</v>
      </c>
      <c r="E49" s="3" t="s">
        <v>1134</v>
      </c>
      <c r="F49" s="3" t="s">
        <v>1136</v>
      </c>
      <c r="G49" s="3" t="s">
        <v>12</v>
      </c>
      <c r="H49" s="12" t="s">
        <v>13</v>
      </c>
      <c r="I49" s="3"/>
      <c r="J49" s="3"/>
    </row>
    <row r="50">
      <c r="A50" s="10">
        <v>370.0</v>
      </c>
      <c r="B50" s="3" t="s">
        <v>1137</v>
      </c>
      <c r="C50" s="3" t="s">
        <v>874</v>
      </c>
      <c r="D50" s="10">
        <v>5.70056378587E11</v>
      </c>
      <c r="E50" s="3" t="s">
        <v>946</v>
      </c>
      <c r="F50" s="3" t="s">
        <v>1138</v>
      </c>
      <c r="G50" s="3" t="s">
        <v>62</v>
      </c>
      <c r="H50" s="12" t="s">
        <v>13</v>
      </c>
      <c r="I50" s="3"/>
      <c r="J50" s="3"/>
    </row>
    <row r="51">
      <c r="A51" s="10">
        <v>371.0</v>
      </c>
      <c r="B51" s="3" t="s">
        <v>1139</v>
      </c>
      <c r="C51" s="3" t="s">
        <v>846</v>
      </c>
      <c r="D51" s="10">
        <v>5.70056378588E11</v>
      </c>
      <c r="E51" s="3" t="s">
        <v>1140</v>
      </c>
      <c r="F51" s="3" t="s">
        <v>1141</v>
      </c>
      <c r="G51" s="3" t="s">
        <v>12</v>
      </c>
      <c r="H51" s="12" t="s">
        <v>13</v>
      </c>
      <c r="I51" s="3"/>
      <c r="J51" s="3"/>
    </row>
    <row r="52">
      <c r="A52" s="10">
        <v>372.0</v>
      </c>
      <c r="B52" s="3" t="s">
        <v>1142</v>
      </c>
      <c r="C52" s="3" t="s">
        <v>1116</v>
      </c>
      <c r="D52" s="10">
        <v>5.70056378592E11</v>
      </c>
      <c r="E52" s="3" t="s">
        <v>1115</v>
      </c>
      <c r="F52" s="3" t="s">
        <v>1143</v>
      </c>
      <c r="G52" s="3" t="s">
        <v>12</v>
      </c>
      <c r="H52" s="12" t="s">
        <v>13</v>
      </c>
      <c r="I52" s="3"/>
      <c r="J52" s="3"/>
    </row>
    <row r="53">
      <c r="A53" s="10">
        <v>373.0</v>
      </c>
      <c r="B53" s="3" t="s">
        <v>1144</v>
      </c>
      <c r="C53" s="3" t="s">
        <v>959</v>
      </c>
      <c r="D53" s="10">
        <v>5.70056378594E11</v>
      </c>
      <c r="E53" s="3" t="s">
        <v>1145</v>
      </c>
      <c r="F53" s="3" t="s">
        <v>1110</v>
      </c>
      <c r="G53" s="3" t="s">
        <v>12</v>
      </c>
      <c r="H53" s="12" t="s">
        <v>13</v>
      </c>
      <c r="I53" s="3"/>
      <c r="J53" s="3"/>
    </row>
    <row r="54">
      <c r="A54" s="10">
        <v>374.0</v>
      </c>
      <c r="B54" s="3" t="s">
        <v>1146</v>
      </c>
      <c r="C54" s="3" t="s">
        <v>726</v>
      </c>
      <c r="D54" s="10">
        <v>5.70056378595E11</v>
      </c>
      <c r="E54" s="3" t="s">
        <v>1147</v>
      </c>
      <c r="F54" s="3" t="s">
        <v>1148</v>
      </c>
      <c r="G54" s="3" t="s">
        <v>12</v>
      </c>
      <c r="H54" s="12" t="s">
        <v>13</v>
      </c>
      <c r="I54" s="3"/>
      <c r="J54" s="3"/>
    </row>
    <row r="55">
      <c r="A55" s="10">
        <v>375.0</v>
      </c>
      <c r="B55" s="3" t="s">
        <v>1149</v>
      </c>
      <c r="C55" s="3" t="s">
        <v>1151</v>
      </c>
      <c r="D55" s="10">
        <v>5.70056378597E11</v>
      </c>
      <c r="E55" s="3" t="s">
        <v>1150</v>
      </c>
      <c r="F55" s="3" t="s">
        <v>1152</v>
      </c>
      <c r="G55" s="3" t="s">
        <v>12</v>
      </c>
      <c r="H55" s="12" t="s">
        <v>13</v>
      </c>
      <c r="I55" s="3"/>
      <c r="J55" s="3"/>
    </row>
    <row r="56">
      <c r="A56" s="10">
        <v>376.0</v>
      </c>
      <c r="B56" s="3" t="s">
        <v>124</v>
      </c>
      <c r="C56" s="3" t="s">
        <v>466</v>
      </c>
      <c r="D56" s="10">
        <v>5.70056378598E11</v>
      </c>
      <c r="E56" s="3" t="s">
        <v>1147</v>
      </c>
      <c r="F56" s="3" t="s">
        <v>1153</v>
      </c>
      <c r="G56" s="3" t="s">
        <v>12</v>
      </c>
      <c r="H56" s="12" t="s">
        <v>13</v>
      </c>
      <c r="I56" s="3"/>
      <c r="J56" s="3"/>
    </row>
    <row r="57">
      <c r="A57" s="10">
        <v>377.0</v>
      </c>
      <c r="B57" s="3" t="s">
        <v>9</v>
      </c>
      <c r="C57" s="3" t="s">
        <v>1155</v>
      </c>
      <c r="D57" s="10">
        <v>5.70056378599E11</v>
      </c>
      <c r="E57" s="3" t="s">
        <v>1154</v>
      </c>
      <c r="F57" s="3" t="s">
        <v>1156</v>
      </c>
      <c r="G57" s="3" t="s">
        <v>12</v>
      </c>
      <c r="H57" s="12" t="s">
        <v>13</v>
      </c>
      <c r="I57" s="3"/>
      <c r="J57" s="3"/>
    </row>
    <row r="58">
      <c r="A58" s="10">
        <v>378.0</v>
      </c>
      <c r="B58" s="3" t="s">
        <v>1157</v>
      </c>
      <c r="C58" s="3" t="s">
        <v>248</v>
      </c>
      <c r="D58" s="10">
        <v>5.700563786E11</v>
      </c>
      <c r="E58" s="3" t="s">
        <v>1158</v>
      </c>
      <c r="F58" s="3" t="s">
        <v>1159</v>
      </c>
      <c r="G58" s="3" t="s">
        <v>12</v>
      </c>
      <c r="H58" s="12" t="s">
        <v>13</v>
      </c>
      <c r="I58" s="3"/>
      <c r="J58" s="3"/>
    </row>
    <row r="59">
      <c r="A59" s="10">
        <v>379.0</v>
      </c>
      <c r="B59" s="3" t="s">
        <v>1160</v>
      </c>
      <c r="C59" s="3" t="s">
        <v>1162</v>
      </c>
      <c r="D59" s="10">
        <v>5.70056378601E11</v>
      </c>
      <c r="E59" s="3" t="s">
        <v>1161</v>
      </c>
      <c r="F59" s="3" t="s">
        <v>1163</v>
      </c>
      <c r="G59" s="3" t="s">
        <v>37</v>
      </c>
      <c r="H59" s="12" t="s">
        <v>1164</v>
      </c>
      <c r="I59" s="3"/>
      <c r="J59" s="3"/>
    </row>
    <row r="60">
      <c r="A60" s="10">
        <v>380.0</v>
      </c>
      <c r="B60" s="3" t="s">
        <v>1165</v>
      </c>
      <c r="C60" s="3" t="s">
        <v>1167</v>
      </c>
      <c r="D60" s="10">
        <v>5.70056378604E11</v>
      </c>
      <c r="E60" s="3" t="s">
        <v>1166</v>
      </c>
      <c r="F60" s="3" t="s">
        <v>1168</v>
      </c>
      <c r="G60" s="3" t="s">
        <v>197</v>
      </c>
      <c r="H60" s="12" t="s">
        <v>1169</v>
      </c>
      <c r="I60" s="3"/>
      <c r="J60" s="3"/>
    </row>
    <row r="61">
      <c r="A61" s="10">
        <v>381.0</v>
      </c>
      <c r="B61" s="3" t="s">
        <v>1170</v>
      </c>
      <c r="C61" s="3" t="s">
        <v>1172</v>
      </c>
      <c r="D61" s="10">
        <v>5.70056378605E11</v>
      </c>
      <c r="E61" s="3" t="s">
        <v>1171</v>
      </c>
      <c r="F61" s="3" t="s">
        <v>183</v>
      </c>
      <c r="G61" s="3" t="s">
        <v>12</v>
      </c>
      <c r="H61" s="12" t="s">
        <v>13</v>
      </c>
      <c r="I61" s="3"/>
      <c r="J61" s="3"/>
    </row>
    <row r="62">
      <c r="A62" s="10">
        <v>382.0</v>
      </c>
      <c r="B62" s="3" t="s">
        <v>90</v>
      </c>
      <c r="C62" s="3" t="s">
        <v>1174</v>
      </c>
      <c r="D62" s="10">
        <v>5.70056378606E11</v>
      </c>
      <c r="E62" s="3" t="s">
        <v>1173</v>
      </c>
      <c r="F62" s="3" t="s">
        <v>1175</v>
      </c>
      <c r="G62" s="3" t="s">
        <v>37</v>
      </c>
      <c r="H62" s="12" t="s">
        <v>1164</v>
      </c>
      <c r="I62" s="3"/>
      <c r="J62" s="3"/>
    </row>
    <row r="63">
      <c r="A63" s="10">
        <v>383.0</v>
      </c>
      <c r="B63" s="3" t="s">
        <v>1176</v>
      </c>
      <c r="C63" s="3" t="s">
        <v>329</v>
      </c>
      <c r="D63" s="10">
        <v>5.7005637861E11</v>
      </c>
      <c r="E63" s="3" t="s">
        <v>1177</v>
      </c>
      <c r="F63" s="3" t="s">
        <v>1178</v>
      </c>
      <c r="G63" s="3" t="s">
        <v>37</v>
      </c>
      <c r="H63" s="12" t="s">
        <v>1169</v>
      </c>
      <c r="I63" s="3"/>
      <c r="J63" s="3"/>
    </row>
    <row r="64">
      <c r="A64" s="10">
        <v>384.0</v>
      </c>
      <c r="B64" s="3" t="s">
        <v>1017</v>
      </c>
      <c r="C64" s="3" t="s">
        <v>1179</v>
      </c>
      <c r="D64" s="10">
        <v>5.70056378611E11</v>
      </c>
      <c r="E64" s="3" t="s">
        <v>324</v>
      </c>
      <c r="F64" s="3" t="s">
        <v>1180</v>
      </c>
      <c r="G64" s="3" t="s">
        <v>12</v>
      </c>
      <c r="H64" s="12" t="s">
        <v>1169</v>
      </c>
      <c r="I64" s="3"/>
      <c r="J64" s="3"/>
    </row>
    <row r="65">
      <c r="A65" s="10">
        <v>385.0</v>
      </c>
      <c r="B65" s="3" t="s">
        <v>128</v>
      </c>
      <c r="C65" s="3" t="s">
        <v>1182</v>
      </c>
      <c r="D65" s="10">
        <v>5.70056378612E11</v>
      </c>
      <c r="E65" s="3" t="s">
        <v>1181</v>
      </c>
      <c r="F65" s="3" t="s">
        <v>1183</v>
      </c>
      <c r="G65" s="3" t="s">
        <v>12</v>
      </c>
      <c r="H65" s="12" t="s">
        <v>1164</v>
      </c>
      <c r="I65" s="3"/>
      <c r="J65" s="3"/>
    </row>
    <row r="66">
      <c r="A66" s="10">
        <v>386.0</v>
      </c>
      <c r="B66" s="3" t="s">
        <v>1184</v>
      </c>
      <c r="C66" s="3" t="s">
        <v>48</v>
      </c>
      <c r="D66" s="10">
        <v>5.70056378613E11</v>
      </c>
      <c r="E66" s="3" t="s">
        <v>1185</v>
      </c>
      <c r="F66" s="3" t="s">
        <v>1186</v>
      </c>
      <c r="G66" s="3" t="s">
        <v>12</v>
      </c>
      <c r="H66" s="12" t="s">
        <v>13</v>
      </c>
      <c r="I66" s="3"/>
      <c r="J66" s="3"/>
    </row>
    <row r="67">
      <c r="A67" s="10">
        <v>387.0</v>
      </c>
      <c r="B67" s="3" t="s">
        <v>1187</v>
      </c>
      <c r="C67" s="3" t="s">
        <v>1189</v>
      </c>
      <c r="D67" s="10">
        <v>5.7005637862E11</v>
      </c>
      <c r="E67" s="3" t="s">
        <v>1188</v>
      </c>
      <c r="F67" s="3" t="s">
        <v>1190</v>
      </c>
      <c r="G67" s="3" t="s">
        <v>12</v>
      </c>
      <c r="H67" s="12" t="s">
        <v>13</v>
      </c>
      <c r="I67" s="3"/>
      <c r="J67" s="3"/>
    </row>
    <row r="68">
      <c r="A68" s="10">
        <v>388.0</v>
      </c>
      <c r="B68" s="3" t="s">
        <v>90</v>
      </c>
      <c r="C68" s="3" t="s">
        <v>1192</v>
      </c>
      <c r="D68" s="10">
        <v>5.70056378621E11</v>
      </c>
      <c r="E68" s="3" t="s">
        <v>1191</v>
      </c>
      <c r="F68" s="3" t="s">
        <v>1193</v>
      </c>
      <c r="G68" s="3" t="s">
        <v>12</v>
      </c>
      <c r="H68" s="12" t="s">
        <v>1169</v>
      </c>
      <c r="I68" s="3"/>
      <c r="J68" s="3"/>
    </row>
    <row r="69">
      <c r="A69" s="10">
        <v>389.0</v>
      </c>
      <c r="B69" s="3" t="s">
        <v>1194</v>
      </c>
      <c r="C69" s="3" t="s">
        <v>88</v>
      </c>
      <c r="D69" s="10">
        <v>5.70056378623E11</v>
      </c>
      <c r="E69" s="3" t="s">
        <v>199</v>
      </c>
      <c r="F69" s="3" t="s">
        <v>1195</v>
      </c>
      <c r="G69" s="3" t="s">
        <v>12</v>
      </c>
      <c r="H69" s="12" t="s">
        <v>13</v>
      </c>
      <c r="I69" s="3"/>
      <c r="J69" s="3"/>
    </row>
    <row r="70">
      <c r="A70" s="10">
        <v>390.0</v>
      </c>
      <c r="B70" s="3" t="s">
        <v>76</v>
      </c>
      <c r="C70" s="3" t="s">
        <v>1196</v>
      </c>
      <c r="D70" s="10">
        <v>5.70056378625E11</v>
      </c>
      <c r="E70" s="3" t="s">
        <v>752</v>
      </c>
      <c r="F70" s="3" t="s">
        <v>1197</v>
      </c>
      <c r="G70" s="3" t="s">
        <v>12</v>
      </c>
      <c r="H70" s="12" t="s">
        <v>13</v>
      </c>
      <c r="I70" s="3"/>
      <c r="J70" s="3"/>
    </row>
    <row r="71">
      <c r="A71" s="10">
        <v>391.0</v>
      </c>
      <c r="B71" s="3" t="s">
        <v>1198</v>
      </c>
      <c r="C71" s="3" t="s">
        <v>1199</v>
      </c>
      <c r="D71" s="10">
        <v>5.70056378626E11</v>
      </c>
      <c r="E71" s="3" t="s">
        <v>199</v>
      </c>
      <c r="F71" s="3" t="s">
        <v>1200</v>
      </c>
      <c r="G71" s="3" t="s">
        <v>12</v>
      </c>
      <c r="H71" s="12" t="s">
        <v>13</v>
      </c>
      <c r="I71" s="3"/>
      <c r="J71" s="3"/>
    </row>
    <row r="72">
      <c r="A72" s="10">
        <v>392.0</v>
      </c>
      <c r="B72" s="3" t="s">
        <v>9</v>
      </c>
      <c r="C72" s="3" t="s">
        <v>332</v>
      </c>
      <c r="D72" s="10">
        <v>5.70056378632E11</v>
      </c>
      <c r="E72" s="3" t="s">
        <v>1166</v>
      </c>
      <c r="F72" s="3" t="s">
        <v>1201</v>
      </c>
      <c r="G72" s="3" t="s">
        <v>12</v>
      </c>
      <c r="H72" s="12" t="s">
        <v>1169</v>
      </c>
      <c r="I72" s="3"/>
      <c r="J72" s="3"/>
    </row>
    <row r="73">
      <c r="A73" s="10">
        <v>393.0</v>
      </c>
      <c r="B73" s="3" t="s">
        <v>521</v>
      </c>
      <c r="C73" s="3" t="s">
        <v>332</v>
      </c>
      <c r="D73" s="10">
        <v>5.70056378633E11</v>
      </c>
      <c r="E73" s="3" t="s">
        <v>1166</v>
      </c>
      <c r="F73" s="3" t="s">
        <v>1202</v>
      </c>
      <c r="G73" s="3" t="s">
        <v>12</v>
      </c>
      <c r="H73" s="12" t="s">
        <v>1169</v>
      </c>
      <c r="I73" s="3"/>
      <c r="J73" s="3"/>
    </row>
    <row r="74">
      <c r="A74" s="10">
        <v>394.0</v>
      </c>
      <c r="B74" s="3" t="s">
        <v>1203</v>
      </c>
      <c r="C74" s="3" t="s">
        <v>1204</v>
      </c>
      <c r="D74" s="10">
        <v>5.70056378634E11</v>
      </c>
      <c r="E74" s="3" t="s">
        <v>148</v>
      </c>
      <c r="F74" s="3" t="s">
        <v>1205</v>
      </c>
      <c r="G74" s="3" t="s">
        <v>37</v>
      </c>
      <c r="H74" s="12" t="s">
        <v>1164</v>
      </c>
      <c r="I74" s="3"/>
      <c r="J74" s="3"/>
    </row>
    <row r="75">
      <c r="A75" s="10">
        <v>395.0</v>
      </c>
      <c r="B75" s="3" t="s">
        <v>1206</v>
      </c>
      <c r="C75" s="3" t="s">
        <v>1208</v>
      </c>
      <c r="D75" s="10">
        <v>5.70056378635E11</v>
      </c>
      <c r="E75" s="3" t="s">
        <v>1207</v>
      </c>
      <c r="F75" s="3" t="s">
        <v>95</v>
      </c>
      <c r="G75" s="3" t="s">
        <v>37</v>
      </c>
      <c r="H75" s="12" t="s">
        <v>13</v>
      </c>
      <c r="I75" s="3"/>
      <c r="J75" s="3"/>
    </row>
    <row r="76">
      <c r="A76" s="10">
        <v>396.0</v>
      </c>
      <c r="B76" s="3" t="s">
        <v>1209</v>
      </c>
      <c r="C76" s="3" t="s">
        <v>332</v>
      </c>
      <c r="D76" s="10">
        <v>5.70056378639E11</v>
      </c>
      <c r="E76" s="3" t="s">
        <v>1207</v>
      </c>
      <c r="F76" s="3" t="s">
        <v>1210</v>
      </c>
      <c r="G76" s="3" t="s">
        <v>12</v>
      </c>
      <c r="H76" s="12" t="s">
        <v>13</v>
      </c>
      <c r="I76" s="3"/>
      <c r="J76" s="3"/>
    </row>
    <row r="77">
      <c r="A77" s="10">
        <v>397.0</v>
      </c>
      <c r="B77" s="3" t="s">
        <v>324</v>
      </c>
      <c r="C77" s="3" t="s">
        <v>1212</v>
      </c>
      <c r="D77" s="10">
        <v>5.70056378642E11</v>
      </c>
      <c r="E77" s="3" t="s">
        <v>1211</v>
      </c>
      <c r="F77" s="3" t="s">
        <v>1213</v>
      </c>
      <c r="G77" s="3" t="s">
        <v>12</v>
      </c>
      <c r="H77" s="12" t="s">
        <v>1169</v>
      </c>
      <c r="I77" s="3"/>
      <c r="J77" s="3"/>
    </row>
    <row r="78">
      <c r="A78" s="10">
        <v>398.0</v>
      </c>
      <c r="B78" s="3" t="s">
        <v>1214</v>
      </c>
      <c r="C78" s="3" t="s">
        <v>1216</v>
      </c>
      <c r="D78" s="10">
        <v>5.70056378645E11</v>
      </c>
      <c r="E78" s="3" t="s">
        <v>1215</v>
      </c>
      <c r="F78" s="3" t="s">
        <v>1217</v>
      </c>
      <c r="G78" s="3" t="s">
        <v>12</v>
      </c>
      <c r="H78" s="12" t="s">
        <v>13</v>
      </c>
      <c r="I78" s="3"/>
      <c r="J78" s="3"/>
    </row>
    <row r="79">
      <c r="A79" s="10">
        <v>399.0</v>
      </c>
      <c r="B79" s="3" t="s">
        <v>1218</v>
      </c>
      <c r="C79" s="3" t="s">
        <v>1220</v>
      </c>
      <c r="D79" s="10">
        <v>5.7005637866E11</v>
      </c>
      <c r="E79" s="3" t="s">
        <v>1219</v>
      </c>
      <c r="F79" s="3" t="s">
        <v>1221</v>
      </c>
      <c r="G79" s="3" t="s">
        <v>12</v>
      </c>
      <c r="H79" s="12" t="s">
        <v>13</v>
      </c>
      <c r="I79" s="3"/>
      <c r="J79" s="3"/>
    </row>
    <row r="80">
      <c r="A80" s="10">
        <v>400.0</v>
      </c>
      <c r="B80" s="3" t="s">
        <v>1222</v>
      </c>
      <c r="C80" s="3" t="s">
        <v>1223</v>
      </c>
      <c r="D80" s="10">
        <v>5.70056378662E11</v>
      </c>
      <c r="E80" s="3" t="s">
        <v>674</v>
      </c>
      <c r="F80" s="3" t="s">
        <v>1224</v>
      </c>
      <c r="G80" s="3" t="s">
        <v>12</v>
      </c>
      <c r="H80" s="12" t="s">
        <v>1169</v>
      </c>
      <c r="I80" s="3"/>
      <c r="J80" s="3"/>
    </row>
    <row r="81">
      <c r="A81" s="10">
        <v>401.0</v>
      </c>
      <c r="B81" s="3" t="s">
        <v>1225</v>
      </c>
      <c r="C81" s="3" t="s">
        <v>1192</v>
      </c>
      <c r="D81" s="10">
        <v>5.70056378668E11</v>
      </c>
      <c r="E81" s="3" t="s">
        <v>1226</v>
      </c>
      <c r="F81" s="3" t="s">
        <v>1227</v>
      </c>
      <c r="G81" s="3" t="s">
        <v>12</v>
      </c>
      <c r="H81" s="12" t="s">
        <v>1169</v>
      </c>
      <c r="I81" s="3"/>
      <c r="J81" s="3"/>
    </row>
    <row r="82">
      <c r="A82" s="10">
        <v>402.0</v>
      </c>
      <c r="B82" s="3" t="s">
        <v>1228</v>
      </c>
      <c r="C82" s="3" t="s">
        <v>1230</v>
      </c>
      <c r="D82" s="10">
        <v>5.70056378673E11</v>
      </c>
      <c r="E82" s="3" t="s">
        <v>1229</v>
      </c>
      <c r="F82" s="3" t="s">
        <v>1231</v>
      </c>
      <c r="G82" s="3" t="s">
        <v>37</v>
      </c>
      <c r="H82" s="12" t="s">
        <v>13</v>
      </c>
      <c r="I82" s="3"/>
      <c r="J82" s="3"/>
    </row>
    <row r="83">
      <c r="A83" s="10">
        <v>403.0</v>
      </c>
      <c r="B83" s="3" t="s">
        <v>1232</v>
      </c>
      <c r="C83" s="3" t="s">
        <v>1234</v>
      </c>
      <c r="D83" s="10">
        <v>5.70056378678E11</v>
      </c>
      <c r="E83" s="3" t="s">
        <v>1233</v>
      </c>
      <c r="F83" s="3" t="s">
        <v>1235</v>
      </c>
      <c r="G83" s="3" t="s">
        <v>12</v>
      </c>
      <c r="H83" s="12" t="s">
        <v>1164</v>
      </c>
      <c r="I83" s="3"/>
      <c r="J83" s="3"/>
    </row>
    <row r="84">
      <c r="A84" s="10">
        <v>404.0</v>
      </c>
      <c r="B84" s="3" t="s">
        <v>1236</v>
      </c>
      <c r="C84" s="3" t="s">
        <v>1238</v>
      </c>
      <c r="D84" s="10">
        <v>5.70056378681E11</v>
      </c>
      <c r="E84" s="3" t="s">
        <v>1237</v>
      </c>
      <c r="F84" s="3" t="s">
        <v>1231</v>
      </c>
      <c r="G84" s="3" t="s">
        <v>12</v>
      </c>
      <c r="H84" s="12" t="s">
        <v>1169</v>
      </c>
      <c r="I84" s="3"/>
      <c r="J84" s="3"/>
    </row>
    <row r="85">
      <c r="A85" s="10">
        <v>405.0</v>
      </c>
      <c r="B85" s="3" t="s">
        <v>202</v>
      </c>
      <c r="C85" s="3" t="s">
        <v>592</v>
      </c>
      <c r="D85" s="10">
        <v>5.70056378682E11</v>
      </c>
      <c r="E85" s="3" t="s">
        <v>591</v>
      </c>
      <c r="F85" s="3" t="s">
        <v>1239</v>
      </c>
      <c r="G85" s="3" t="s">
        <v>12</v>
      </c>
      <c r="H85" s="12" t="s">
        <v>1169</v>
      </c>
      <c r="I85" s="3"/>
      <c r="J85" s="3"/>
    </row>
    <row r="86">
      <c r="A86" s="10">
        <v>406.0</v>
      </c>
      <c r="B86" s="3" t="s">
        <v>1240</v>
      </c>
      <c r="C86" s="3" t="s">
        <v>1242</v>
      </c>
      <c r="D86" s="10">
        <v>5.70056378683E11</v>
      </c>
      <c r="E86" s="3" t="s">
        <v>1241</v>
      </c>
      <c r="F86" s="3" t="s">
        <v>1243</v>
      </c>
      <c r="G86" s="3" t="s">
        <v>37</v>
      </c>
      <c r="H86" s="12" t="s">
        <v>1169</v>
      </c>
      <c r="I86" s="3"/>
      <c r="J86" s="3"/>
    </row>
    <row r="87">
      <c r="A87" s="10">
        <v>407.0</v>
      </c>
      <c r="B87" s="3" t="s">
        <v>205</v>
      </c>
      <c r="C87" s="3" t="s">
        <v>1245</v>
      </c>
      <c r="D87" s="10">
        <v>5.70056378684E11</v>
      </c>
      <c r="E87" s="3" t="s">
        <v>1244</v>
      </c>
      <c r="F87" s="3" t="s">
        <v>1246</v>
      </c>
      <c r="G87" s="3" t="s">
        <v>12</v>
      </c>
      <c r="H87" s="12" t="s">
        <v>13</v>
      </c>
      <c r="I87" s="3"/>
      <c r="J87" s="3"/>
    </row>
    <row r="88">
      <c r="A88" s="10">
        <v>408.0</v>
      </c>
      <c r="B88" s="3" t="s">
        <v>1158</v>
      </c>
      <c r="C88" s="3" t="s">
        <v>504</v>
      </c>
      <c r="D88" s="10">
        <v>5.70056378686E11</v>
      </c>
      <c r="E88" s="3" t="s">
        <v>1247</v>
      </c>
      <c r="F88" s="3" t="s">
        <v>1248</v>
      </c>
      <c r="G88" s="3" t="s">
        <v>12</v>
      </c>
      <c r="H88" s="12" t="s">
        <v>1169</v>
      </c>
      <c r="I88" s="3"/>
      <c r="J88" s="3"/>
    </row>
    <row r="89">
      <c r="A89" s="10">
        <v>409.0</v>
      </c>
      <c r="B89" s="3" t="s">
        <v>1249</v>
      </c>
      <c r="C89" s="3" t="s">
        <v>1251</v>
      </c>
      <c r="D89" s="10">
        <v>5.70056378687E11</v>
      </c>
      <c r="E89" s="3" t="s">
        <v>1250</v>
      </c>
      <c r="F89" s="3" t="s">
        <v>1252</v>
      </c>
      <c r="G89" s="3" t="s">
        <v>12</v>
      </c>
      <c r="H89" s="12" t="s">
        <v>13</v>
      </c>
      <c r="I89" s="3"/>
      <c r="J89" s="3"/>
    </row>
    <row r="90">
      <c r="A90" s="10">
        <v>410.0</v>
      </c>
      <c r="B90" s="3" t="s">
        <v>1161</v>
      </c>
      <c r="C90" s="3" t="s">
        <v>1253</v>
      </c>
      <c r="D90" s="10">
        <v>5.70056378688E11</v>
      </c>
      <c r="E90" s="3" t="s">
        <v>674</v>
      </c>
      <c r="F90" s="3" t="s">
        <v>1254</v>
      </c>
      <c r="G90" s="3" t="s">
        <v>12</v>
      </c>
      <c r="H90" s="12" t="s">
        <v>1169</v>
      </c>
      <c r="I90" s="3"/>
      <c r="J90" s="3"/>
    </row>
    <row r="91">
      <c r="A91" s="10">
        <v>411.0</v>
      </c>
      <c r="B91" s="3" t="s">
        <v>1255</v>
      </c>
      <c r="C91" s="3" t="s">
        <v>1257</v>
      </c>
      <c r="D91" s="10">
        <v>5.70056378692E11</v>
      </c>
      <c r="E91" s="3" t="s">
        <v>1256</v>
      </c>
      <c r="F91" s="3" t="s">
        <v>1258</v>
      </c>
      <c r="G91" s="3" t="s">
        <v>12</v>
      </c>
      <c r="H91" s="12" t="s">
        <v>13</v>
      </c>
      <c r="I91" s="3"/>
      <c r="J91" s="3"/>
    </row>
    <row r="92">
      <c r="A92" s="10">
        <v>412.0</v>
      </c>
      <c r="B92" s="3" t="s">
        <v>106</v>
      </c>
      <c r="C92" s="3" t="s">
        <v>216</v>
      </c>
      <c r="D92" s="10">
        <v>5.70056378693E11</v>
      </c>
      <c r="E92" s="3" t="s">
        <v>1259</v>
      </c>
      <c r="F92" s="3" t="s">
        <v>1260</v>
      </c>
      <c r="G92" s="3" t="s">
        <v>12</v>
      </c>
      <c r="H92" s="12" t="s">
        <v>1169</v>
      </c>
      <c r="I92" s="3"/>
      <c r="J92" s="3"/>
    </row>
    <row r="93">
      <c r="A93" s="10">
        <v>413.0</v>
      </c>
      <c r="B93" s="3" t="s">
        <v>752</v>
      </c>
      <c r="C93" s="3" t="s">
        <v>1262</v>
      </c>
      <c r="D93" s="10">
        <v>5.70056378694E11</v>
      </c>
      <c r="E93" s="3" t="s">
        <v>1261</v>
      </c>
      <c r="F93" s="3" t="s">
        <v>1263</v>
      </c>
      <c r="G93" s="3" t="s">
        <v>12</v>
      </c>
      <c r="H93" s="12" t="s">
        <v>13</v>
      </c>
      <c r="I93" s="3"/>
      <c r="J93" s="3"/>
    </row>
    <row r="94">
      <c r="A94" s="10">
        <v>414.0</v>
      </c>
      <c r="B94" s="3" t="s">
        <v>1264</v>
      </c>
      <c r="C94" s="3" t="s">
        <v>48</v>
      </c>
      <c r="D94" s="10">
        <v>5.70056378695E11</v>
      </c>
      <c r="E94" s="3" t="s">
        <v>1265</v>
      </c>
      <c r="F94" s="3" t="s">
        <v>1266</v>
      </c>
      <c r="G94" s="3" t="s">
        <v>12</v>
      </c>
      <c r="H94" s="12" t="s">
        <v>13</v>
      </c>
      <c r="I94" s="3"/>
      <c r="J94" s="3"/>
    </row>
    <row r="95">
      <c r="A95" s="10">
        <v>415.0</v>
      </c>
      <c r="B95" s="3" t="s">
        <v>1267</v>
      </c>
      <c r="C95" s="3" t="s">
        <v>1268</v>
      </c>
      <c r="D95" s="10">
        <v>5.70056378696E11</v>
      </c>
      <c r="E95" s="3" t="s">
        <v>566</v>
      </c>
      <c r="F95" s="3" t="s">
        <v>1269</v>
      </c>
      <c r="G95" s="3" t="s">
        <v>12</v>
      </c>
      <c r="H95" s="12" t="s">
        <v>1169</v>
      </c>
      <c r="I95" s="3"/>
      <c r="J95" s="3"/>
    </row>
    <row r="96">
      <c r="A96" s="10">
        <v>416.0</v>
      </c>
      <c r="B96" s="3" t="s">
        <v>1270</v>
      </c>
      <c r="C96" s="3" t="s">
        <v>1272</v>
      </c>
      <c r="D96" s="10">
        <v>5.70056378698E11</v>
      </c>
      <c r="E96" s="3" t="s">
        <v>1271</v>
      </c>
      <c r="F96" s="3" t="s">
        <v>1273</v>
      </c>
      <c r="G96" s="3" t="s">
        <v>12</v>
      </c>
      <c r="H96" s="12" t="s">
        <v>1169</v>
      </c>
      <c r="I96" s="3"/>
      <c r="J96" s="3"/>
    </row>
    <row r="97">
      <c r="A97" s="10">
        <v>417.0</v>
      </c>
      <c r="B97" s="3" t="s">
        <v>59</v>
      </c>
      <c r="C97" s="3" t="s">
        <v>504</v>
      </c>
      <c r="D97" s="10">
        <v>5.70056378699E11</v>
      </c>
      <c r="E97" s="3" t="s">
        <v>1247</v>
      </c>
      <c r="F97" s="3" t="s">
        <v>1274</v>
      </c>
      <c r="G97" s="3" t="s">
        <v>12</v>
      </c>
      <c r="H97" s="12" t="s">
        <v>1169</v>
      </c>
      <c r="I97" s="3"/>
      <c r="J97" s="3"/>
    </row>
    <row r="98">
      <c r="A98" s="10">
        <v>418.0</v>
      </c>
      <c r="B98" s="3" t="s">
        <v>441</v>
      </c>
      <c r="C98" s="3" t="s">
        <v>1276</v>
      </c>
      <c r="D98" s="10">
        <v>5.700563787E11</v>
      </c>
      <c r="E98" s="3" t="s">
        <v>1275</v>
      </c>
      <c r="F98" s="3" t="s">
        <v>1277</v>
      </c>
      <c r="G98" s="3" t="s">
        <v>12</v>
      </c>
      <c r="H98" s="12" t="s">
        <v>1169</v>
      </c>
      <c r="I98" s="3"/>
      <c r="J98" s="3"/>
    </row>
    <row r="99">
      <c r="A99" s="10">
        <v>419.0</v>
      </c>
      <c r="B99" s="3" t="s">
        <v>1278</v>
      </c>
      <c r="C99" s="3" t="s">
        <v>1192</v>
      </c>
      <c r="D99" s="10">
        <v>5.70056378701E11</v>
      </c>
      <c r="E99" s="3" t="s">
        <v>1226</v>
      </c>
      <c r="F99" s="3" t="s">
        <v>524</v>
      </c>
      <c r="G99" s="3" t="s">
        <v>12</v>
      </c>
      <c r="H99" s="12" t="s">
        <v>1169</v>
      </c>
      <c r="I99" s="3"/>
      <c r="J99" s="3"/>
    </row>
    <row r="100">
      <c r="A100" s="10">
        <v>420.0</v>
      </c>
      <c r="B100" s="3" t="s">
        <v>1279</v>
      </c>
      <c r="C100" s="3" t="s">
        <v>1281</v>
      </c>
      <c r="D100" s="10">
        <v>5.70056378702E11</v>
      </c>
      <c r="E100" s="3" t="s">
        <v>1280</v>
      </c>
      <c r="F100" s="3" t="s">
        <v>1282</v>
      </c>
      <c r="G100" s="3" t="s">
        <v>12</v>
      </c>
      <c r="H100" s="12" t="s">
        <v>1169</v>
      </c>
      <c r="I100" s="3"/>
      <c r="J100" s="3"/>
    </row>
    <row r="101">
      <c r="A101" s="10">
        <v>421.0</v>
      </c>
      <c r="B101" s="3" t="s">
        <v>1283</v>
      </c>
      <c r="C101" s="3" t="s">
        <v>1285</v>
      </c>
      <c r="D101" s="10">
        <v>5.70056378703E11</v>
      </c>
      <c r="E101" s="3" t="s">
        <v>1284</v>
      </c>
      <c r="F101" s="3" t="s">
        <v>1286</v>
      </c>
      <c r="G101" s="3" t="s">
        <v>12</v>
      </c>
      <c r="H101" s="12" t="s">
        <v>1169</v>
      </c>
      <c r="I101" s="3"/>
      <c r="J101" s="3"/>
    </row>
    <row r="102">
      <c r="A102" s="10">
        <v>422.0</v>
      </c>
      <c r="B102" s="3" t="s">
        <v>38</v>
      </c>
      <c r="C102" s="3" t="s">
        <v>1287</v>
      </c>
      <c r="D102" s="10">
        <v>5.70056378704E11</v>
      </c>
      <c r="E102" s="3" t="s">
        <v>752</v>
      </c>
      <c r="F102" s="3" t="s">
        <v>1288</v>
      </c>
      <c r="G102" s="3" t="s">
        <v>12</v>
      </c>
      <c r="H102" s="12" t="s">
        <v>1169</v>
      </c>
      <c r="I102" s="3"/>
      <c r="J102" s="3"/>
    </row>
    <row r="103">
      <c r="A103" s="10">
        <v>423.0</v>
      </c>
      <c r="B103" s="3" t="s">
        <v>1289</v>
      </c>
      <c r="C103" s="3" t="s">
        <v>48</v>
      </c>
      <c r="D103" s="10">
        <v>5.70056378706E11</v>
      </c>
      <c r="E103" s="3" t="s">
        <v>1290</v>
      </c>
      <c r="F103" s="3" t="s">
        <v>1201</v>
      </c>
      <c r="G103" s="3" t="s">
        <v>12</v>
      </c>
      <c r="H103" s="12" t="s">
        <v>13</v>
      </c>
      <c r="I103" s="3"/>
      <c r="J103" s="3"/>
    </row>
    <row r="104">
      <c r="A104" s="10">
        <v>424.0</v>
      </c>
      <c r="B104" s="3" t="s">
        <v>1291</v>
      </c>
      <c r="C104" s="3" t="s">
        <v>1293</v>
      </c>
      <c r="D104" s="10">
        <v>5.70056378707E11</v>
      </c>
      <c r="E104" s="3" t="s">
        <v>1292</v>
      </c>
      <c r="F104" s="3" t="s">
        <v>1294</v>
      </c>
      <c r="G104" s="3" t="s">
        <v>12</v>
      </c>
      <c r="H104" s="12" t="s">
        <v>13</v>
      </c>
      <c r="I104" s="3"/>
      <c r="J104" s="3"/>
    </row>
    <row r="105">
      <c r="A105" s="10">
        <v>425.0</v>
      </c>
      <c r="B105" s="3" t="s">
        <v>1295</v>
      </c>
      <c r="C105" s="3" t="s">
        <v>1297</v>
      </c>
      <c r="D105" s="10">
        <v>5.70056378708E11</v>
      </c>
      <c r="E105" s="3" t="s">
        <v>1296</v>
      </c>
      <c r="F105" s="3" t="s">
        <v>1298</v>
      </c>
      <c r="G105" s="3" t="s">
        <v>12</v>
      </c>
      <c r="H105" s="12" t="s">
        <v>28</v>
      </c>
      <c r="I105" s="3"/>
      <c r="J105" s="3"/>
    </row>
    <row r="106">
      <c r="A106" s="10">
        <v>426.0</v>
      </c>
      <c r="B106" s="3" t="s">
        <v>1299</v>
      </c>
      <c r="C106" s="3" t="s">
        <v>1301</v>
      </c>
      <c r="D106" s="10">
        <v>5.70056378709E11</v>
      </c>
      <c r="E106" s="3" t="s">
        <v>1300</v>
      </c>
      <c r="F106" s="3" t="s">
        <v>1302</v>
      </c>
      <c r="G106" s="3" t="s">
        <v>12</v>
      </c>
      <c r="H106" s="12" t="s">
        <v>1303</v>
      </c>
      <c r="I106" s="3"/>
      <c r="J106" s="3"/>
    </row>
    <row r="107">
      <c r="A107" s="10">
        <v>427.0</v>
      </c>
      <c r="B107" s="3" t="s">
        <v>441</v>
      </c>
      <c r="C107" s="3" t="s">
        <v>1305</v>
      </c>
      <c r="D107" s="10">
        <v>5.70056378712E11</v>
      </c>
      <c r="E107" s="3" t="s">
        <v>1304</v>
      </c>
      <c r="F107" s="3" t="s">
        <v>1306</v>
      </c>
      <c r="G107" s="3" t="s">
        <v>12</v>
      </c>
      <c r="H107" s="12" t="s">
        <v>13</v>
      </c>
      <c r="I107" s="3"/>
      <c r="J107" s="3"/>
    </row>
    <row r="108">
      <c r="A108" s="10">
        <v>428.0</v>
      </c>
      <c r="B108" s="3" t="s">
        <v>1307</v>
      </c>
      <c r="C108" s="3" t="s">
        <v>1309</v>
      </c>
      <c r="D108" s="10">
        <v>5.70056378721E11</v>
      </c>
      <c r="E108" s="3" t="s">
        <v>1308</v>
      </c>
      <c r="F108" s="3" t="s">
        <v>1310</v>
      </c>
      <c r="G108" s="3" t="s">
        <v>12</v>
      </c>
      <c r="H108" s="12" t="s">
        <v>1303</v>
      </c>
      <c r="I108" s="3"/>
      <c r="J108" s="3"/>
    </row>
    <row r="109">
      <c r="A109" s="10">
        <v>429.0</v>
      </c>
      <c r="B109" s="3"/>
      <c r="C109" s="3"/>
      <c r="D109" s="3"/>
      <c r="E109" s="3"/>
      <c r="F109" s="3"/>
      <c r="G109" s="3"/>
      <c r="H109" s="3"/>
      <c r="I109" s="3"/>
      <c r="J109" s="3"/>
    </row>
    <row r="110">
      <c r="A110" s="10">
        <v>430.0</v>
      </c>
      <c r="B110" s="3" t="s">
        <v>1311</v>
      </c>
      <c r="C110" s="3" t="s">
        <v>1313</v>
      </c>
      <c r="D110" s="10">
        <v>5.70056378725E11</v>
      </c>
      <c r="E110" s="3" t="s">
        <v>1312</v>
      </c>
      <c r="F110" s="3" t="s">
        <v>1314</v>
      </c>
      <c r="G110" s="3" t="s">
        <v>12</v>
      </c>
      <c r="H110" s="12" t="s">
        <v>28</v>
      </c>
      <c r="I110" s="3"/>
      <c r="J110" s="3"/>
    </row>
    <row r="111">
      <c r="A111" s="10">
        <v>431.0</v>
      </c>
      <c r="B111" s="3" t="s">
        <v>1315</v>
      </c>
      <c r="C111" s="3" t="s">
        <v>1316</v>
      </c>
      <c r="D111" s="10">
        <v>5.70056378729E11</v>
      </c>
      <c r="E111" s="3" t="s">
        <v>981</v>
      </c>
      <c r="F111" s="3" t="s">
        <v>1317</v>
      </c>
      <c r="G111" s="3" t="s">
        <v>12</v>
      </c>
      <c r="H111" s="12" t="s">
        <v>1303</v>
      </c>
      <c r="I111" s="3"/>
      <c r="J111" s="3"/>
    </row>
    <row r="112">
      <c r="A112" s="10">
        <v>432.0</v>
      </c>
      <c r="B112" s="3" t="s">
        <v>1318</v>
      </c>
      <c r="C112" s="3" t="s">
        <v>1320</v>
      </c>
      <c r="D112" s="10">
        <v>5.70056378732E11</v>
      </c>
      <c r="E112" s="3" t="s">
        <v>1319</v>
      </c>
      <c r="F112" s="3" t="s">
        <v>1321</v>
      </c>
      <c r="G112" s="3" t="s">
        <v>12</v>
      </c>
      <c r="H112" s="12" t="s">
        <v>1169</v>
      </c>
      <c r="I112" s="3"/>
      <c r="J112" s="3"/>
    </row>
    <row r="113">
      <c r="A113" s="10">
        <v>433.0</v>
      </c>
      <c r="B113" s="3" t="s">
        <v>1322</v>
      </c>
      <c r="C113" s="3" t="s">
        <v>1324</v>
      </c>
      <c r="D113" s="10">
        <v>5.70056378735E11</v>
      </c>
      <c r="E113" s="3" t="s">
        <v>1323</v>
      </c>
      <c r="F113" s="3" t="s">
        <v>1325</v>
      </c>
      <c r="G113" s="3" t="s">
        <v>12</v>
      </c>
      <c r="H113" s="12" t="s">
        <v>1169</v>
      </c>
      <c r="I113" s="3"/>
      <c r="J113" s="3"/>
    </row>
    <row r="114">
      <c r="A114" s="10">
        <v>434.0</v>
      </c>
      <c r="B114" s="3" t="s">
        <v>1326</v>
      </c>
      <c r="C114" s="3" t="s">
        <v>1328</v>
      </c>
      <c r="D114" s="10">
        <v>5.70056378738E11</v>
      </c>
      <c r="E114" s="3" t="s">
        <v>1327</v>
      </c>
      <c r="F114" s="3" t="s">
        <v>1329</v>
      </c>
      <c r="G114" s="3" t="s">
        <v>12</v>
      </c>
      <c r="H114" s="12" t="s">
        <v>1169</v>
      </c>
      <c r="I114" s="3"/>
      <c r="J114" s="3"/>
    </row>
    <row r="115">
      <c r="A115" s="10">
        <v>435.0</v>
      </c>
      <c r="B115" s="3" t="s">
        <v>1330</v>
      </c>
      <c r="C115" s="3" t="s">
        <v>1331</v>
      </c>
      <c r="D115" s="10">
        <v>5.70056378739E11</v>
      </c>
      <c r="E115" s="3" t="s">
        <v>1219</v>
      </c>
      <c r="F115" s="3" t="s">
        <v>1332</v>
      </c>
      <c r="G115" s="3" t="s">
        <v>12</v>
      </c>
      <c r="H115" s="12" t="s">
        <v>13</v>
      </c>
      <c r="I115" s="3"/>
      <c r="J115" s="3"/>
    </row>
    <row r="116">
      <c r="A116" s="10">
        <v>436.0</v>
      </c>
      <c r="B116" s="3" t="s">
        <v>1333</v>
      </c>
      <c r="C116" s="3" t="s">
        <v>332</v>
      </c>
      <c r="D116" s="10">
        <v>5.70056378744E11</v>
      </c>
      <c r="E116" s="3" t="s">
        <v>1275</v>
      </c>
      <c r="F116" s="3" t="s">
        <v>1334</v>
      </c>
      <c r="G116" s="3" t="s">
        <v>12</v>
      </c>
      <c r="H116" s="12" t="s">
        <v>1169</v>
      </c>
      <c r="I116" s="3"/>
      <c r="J116" s="3"/>
    </row>
    <row r="117">
      <c r="A117" s="10">
        <v>437.0</v>
      </c>
      <c r="B117" s="3"/>
      <c r="C117" s="3"/>
      <c r="D117" s="3"/>
      <c r="E117" s="3"/>
      <c r="F117" s="3"/>
      <c r="G117" s="3"/>
      <c r="H117" s="3"/>
      <c r="I117" s="3"/>
      <c r="J117" s="3"/>
    </row>
    <row r="118">
      <c r="A118" s="10">
        <v>438.0</v>
      </c>
      <c r="B118" s="3" t="s">
        <v>1335</v>
      </c>
      <c r="C118" s="3" t="s">
        <v>1337</v>
      </c>
      <c r="D118" s="10">
        <v>5.70056378748E11</v>
      </c>
      <c r="E118" s="3" t="s">
        <v>1336</v>
      </c>
      <c r="F118" s="3" t="s">
        <v>1338</v>
      </c>
      <c r="G118" s="3" t="s">
        <v>12</v>
      </c>
      <c r="H118" s="12" t="s">
        <v>13</v>
      </c>
      <c r="I118" s="3"/>
      <c r="J118" s="3"/>
    </row>
    <row r="119">
      <c r="A119" s="10">
        <v>439.0</v>
      </c>
      <c r="B119" s="3" t="s">
        <v>1339</v>
      </c>
      <c r="C119" s="3" t="s">
        <v>933</v>
      </c>
      <c r="D119" s="10">
        <v>5.7005637875E11</v>
      </c>
      <c r="E119" s="3" t="s">
        <v>1247</v>
      </c>
      <c r="F119" s="3" t="s">
        <v>1269</v>
      </c>
      <c r="G119" s="3" t="s">
        <v>12</v>
      </c>
      <c r="H119" s="12" t="s">
        <v>1169</v>
      </c>
      <c r="I119" s="3"/>
      <c r="J119" s="3"/>
    </row>
    <row r="120">
      <c r="A120" s="10">
        <v>440.0</v>
      </c>
      <c r="B120" s="3" t="s">
        <v>368</v>
      </c>
      <c r="C120" s="3" t="s">
        <v>1341</v>
      </c>
      <c r="D120" s="10">
        <v>5.70056378751E11</v>
      </c>
      <c r="E120" s="3" t="s">
        <v>1340</v>
      </c>
      <c r="F120" s="3" t="s">
        <v>1342</v>
      </c>
      <c r="G120" s="3" t="s">
        <v>12</v>
      </c>
      <c r="H120" s="12" t="s">
        <v>1169</v>
      </c>
      <c r="I120" s="3"/>
      <c r="J120" s="3"/>
    </row>
    <row r="121">
      <c r="A121" s="10">
        <v>441.0</v>
      </c>
      <c r="B121" s="3" t="s">
        <v>1343</v>
      </c>
      <c r="C121" s="3" t="s">
        <v>391</v>
      </c>
      <c r="D121" s="10">
        <v>5.70056378755E11</v>
      </c>
      <c r="E121" s="3" t="s">
        <v>390</v>
      </c>
      <c r="F121" s="3" t="s">
        <v>1344</v>
      </c>
      <c r="G121" s="3" t="s">
        <v>12</v>
      </c>
      <c r="H121" s="12" t="s">
        <v>1169</v>
      </c>
      <c r="I121" s="3"/>
      <c r="J121" s="3"/>
    </row>
    <row r="122">
      <c r="A122" s="10">
        <v>442.0</v>
      </c>
      <c r="B122" s="3" t="s">
        <v>390</v>
      </c>
      <c r="C122" s="3" t="s">
        <v>462</v>
      </c>
      <c r="D122" s="10">
        <v>5.70056378757E11</v>
      </c>
      <c r="E122" s="3" t="s">
        <v>1345</v>
      </c>
      <c r="F122" s="3" t="s">
        <v>1346</v>
      </c>
      <c r="G122" s="3" t="s">
        <v>12</v>
      </c>
      <c r="H122" s="12" t="s">
        <v>13</v>
      </c>
      <c r="I122" s="3"/>
      <c r="J122" s="3"/>
    </row>
    <row r="123">
      <c r="A123" s="10">
        <v>443.0</v>
      </c>
      <c r="B123" s="3" t="s">
        <v>1347</v>
      </c>
      <c r="C123" s="3" t="s">
        <v>60</v>
      </c>
      <c r="D123" s="10">
        <v>5.70056378759E11</v>
      </c>
      <c r="E123" s="3" t="s">
        <v>1256</v>
      </c>
      <c r="F123" s="3" t="s">
        <v>1348</v>
      </c>
      <c r="G123" s="3" t="s">
        <v>12</v>
      </c>
      <c r="H123" s="12" t="s">
        <v>13</v>
      </c>
      <c r="I123" s="3"/>
      <c r="J123" s="3"/>
    </row>
    <row r="124">
      <c r="A124" s="10">
        <v>444.0</v>
      </c>
      <c r="B124" s="3" t="s">
        <v>549</v>
      </c>
      <c r="C124" s="3" t="s">
        <v>1349</v>
      </c>
      <c r="D124" s="10">
        <v>5.7005637876E11</v>
      </c>
      <c r="E124" s="3" t="s">
        <v>1256</v>
      </c>
      <c r="F124" s="3" t="s">
        <v>1350</v>
      </c>
      <c r="G124" s="3" t="s">
        <v>12</v>
      </c>
      <c r="H124" s="12" t="s">
        <v>13</v>
      </c>
      <c r="I124" s="3"/>
      <c r="J124" s="3"/>
    </row>
    <row r="125">
      <c r="A125" s="10">
        <v>445.0</v>
      </c>
      <c r="B125" s="3" t="s">
        <v>1351</v>
      </c>
      <c r="C125" s="3" t="s">
        <v>391</v>
      </c>
      <c r="D125" s="10">
        <v>5.70056378761E11</v>
      </c>
      <c r="E125" s="3" t="s">
        <v>390</v>
      </c>
      <c r="F125" s="3" t="s">
        <v>1352</v>
      </c>
      <c r="G125" s="3" t="s">
        <v>12</v>
      </c>
      <c r="H125" s="12" t="s">
        <v>1169</v>
      </c>
      <c r="I125" s="3"/>
      <c r="J125" s="3"/>
    </row>
    <row r="126">
      <c r="A126" s="10">
        <v>446.0</v>
      </c>
      <c r="B126" s="3" t="s">
        <v>751</v>
      </c>
      <c r="C126" s="3" t="s">
        <v>1354</v>
      </c>
      <c r="D126" s="10">
        <v>5.70056378776E11</v>
      </c>
      <c r="E126" s="3" t="s">
        <v>1353</v>
      </c>
      <c r="F126" s="3" t="s">
        <v>1355</v>
      </c>
      <c r="G126" s="3" t="s">
        <v>1356</v>
      </c>
      <c r="H126" s="12" t="s">
        <v>318</v>
      </c>
      <c r="I126" s="3"/>
      <c r="J126" s="3"/>
    </row>
    <row r="127">
      <c r="A127" s="10">
        <v>447.0</v>
      </c>
      <c r="B127" s="3"/>
      <c r="C127" s="3"/>
      <c r="D127" s="3"/>
      <c r="E127" s="3"/>
      <c r="F127" s="3"/>
      <c r="G127" s="3"/>
      <c r="H127" s="3"/>
      <c r="I127" s="3"/>
      <c r="J127" s="3"/>
    </row>
    <row r="128">
      <c r="A128" s="10">
        <v>448.0</v>
      </c>
      <c r="B128" s="3" t="s">
        <v>1357</v>
      </c>
      <c r="C128" s="3" t="s">
        <v>1359</v>
      </c>
      <c r="D128" s="10">
        <v>5.70056378785E11</v>
      </c>
      <c r="E128" s="3" t="s">
        <v>1358</v>
      </c>
      <c r="F128" s="3" t="s">
        <v>405</v>
      </c>
      <c r="G128" s="3" t="s">
        <v>50</v>
      </c>
      <c r="H128" s="12" t="s">
        <v>13</v>
      </c>
      <c r="I128" s="3"/>
      <c r="J128" s="3"/>
    </row>
    <row r="129">
      <c r="A129" s="10">
        <v>449.0</v>
      </c>
      <c r="B129" s="3" t="s">
        <v>1360</v>
      </c>
      <c r="C129" s="3" t="s">
        <v>1361</v>
      </c>
      <c r="D129" s="10">
        <v>5.70056378786E11</v>
      </c>
      <c r="E129" s="3" t="s">
        <v>112</v>
      </c>
      <c r="F129" s="3" t="s">
        <v>1362</v>
      </c>
      <c r="G129" s="3" t="s">
        <v>12</v>
      </c>
      <c r="H129" s="12" t="s">
        <v>338</v>
      </c>
      <c r="I129" s="3"/>
      <c r="J129" s="3"/>
    </row>
    <row r="130">
      <c r="A130" s="10">
        <v>450.0</v>
      </c>
      <c r="B130" s="3" t="s">
        <v>1095</v>
      </c>
      <c r="C130" s="3" t="s">
        <v>1364</v>
      </c>
      <c r="D130" s="10">
        <v>5.70056378789E11</v>
      </c>
      <c r="E130" s="3" t="s">
        <v>1363</v>
      </c>
      <c r="F130" s="3" t="s">
        <v>1365</v>
      </c>
      <c r="G130" s="3" t="s">
        <v>12</v>
      </c>
      <c r="H130" s="12" t="s">
        <v>338</v>
      </c>
      <c r="I130" s="3"/>
      <c r="J130" s="3"/>
    </row>
    <row r="131">
      <c r="A131" s="10">
        <v>451.0</v>
      </c>
      <c r="B131" s="3" t="s">
        <v>304</v>
      </c>
      <c r="C131" s="3" t="s">
        <v>1367</v>
      </c>
      <c r="D131" s="10">
        <v>5.7005637879E11</v>
      </c>
      <c r="E131" s="3" t="s">
        <v>1366</v>
      </c>
      <c r="F131" s="3" t="s">
        <v>975</v>
      </c>
      <c r="G131" s="3" t="s">
        <v>12</v>
      </c>
      <c r="H131" s="12" t="s">
        <v>318</v>
      </c>
      <c r="I131" s="3"/>
      <c r="J131" s="3"/>
    </row>
    <row r="132">
      <c r="A132" s="10">
        <v>452.0</v>
      </c>
      <c r="B132" s="3" t="s">
        <v>1368</v>
      </c>
      <c r="C132" s="3" t="s">
        <v>1370</v>
      </c>
      <c r="D132" s="10">
        <v>5.70056378791E11</v>
      </c>
      <c r="E132" s="3" t="s">
        <v>1369</v>
      </c>
      <c r="F132" s="3" t="s">
        <v>1371</v>
      </c>
      <c r="G132" s="3" t="s">
        <v>12</v>
      </c>
      <c r="H132" s="12" t="s">
        <v>338</v>
      </c>
      <c r="I132" s="3"/>
      <c r="J132" s="3"/>
    </row>
    <row r="133">
      <c r="A133" s="10">
        <v>453.0</v>
      </c>
      <c r="B133" s="3" t="s">
        <v>380</v>
      </c>
      <c r="C133" s="3" t="s">
        <v>248</v>
      </c>
      <c r="D133" s="10">
        <v>5.70056378792E11</v>
      </c>
      <c r="E133" s="3" t="s">
        <v>166</v>
      </c>
      <c r="F133" s="3" t="s">
        <v>1372</v>
      </c>
      <c r="G133" s="3" t="s">
        <v>12</v>
      </c>
      <c r="H133" s="12" t="s">
        <v>13</v>
      </c>
      <c r="I133" s="3"/>
      <c r="J133" s="3"/>
    </row>
    <row r="134">
      <c r="A134" s="10">
        <v>454.0</v>
      </c>
      <c r="B134" s="3" t="s">
        <v>1373</v>
      </c>
      <c r="C134" s="3" t="s">
        <v>675</v>
      </c>
      <c r="D134" s="10">
        <v>5.70056378797E11</v>
      </c>
      <c r="E134" s="3" t="s">
        <v>1374</v>
      </c>
      <c r="F134" s="3" t="s">
        <v>1375</v>
      </c>
      <c r="G134" s="3" t="s">
        <v>12</v>
      </c>
      <c r="H134" s="12" t="s">
        <v>13</v>
      </c>
      <c r="I134" s="3"/>
      <c r="J134" s="3"/>
    </row>
    <row r="135">
      <c r="A135" s="10">
        <v>455.0</v>
      </c>
      <c r="B135" s="3" t="s">
        <v>1376</v>
      </c>
      <c r="C135" s="3" t="s">
        <v>152</v>
      </c>
      <c r="D135" s="10">
        <v>5.70056378798E11</v>
      </c>
      <c r="E135" s="3" t="s">
        <v>1377</v>
      </c>
      <c r="F135" s="3" t="s">
        <v>1378</v>
      </c>
      <c r="G135" s="3" t="s">
        <v>12</v>
      </c>
      <c r="H135" s="12" t="s">
        <v>13</v>
      </c>
      <c r="I135" s="3"/>
      <c r="J135" s="3"/>
    </row>
    <row r="136">
      <c r="A136" s="10">
        <v>456.0</v>
      </c>
      <c r="B136" s="3" t="s">
        <v>323</v>
      </c>
      <c r="C136" s="3" t="s">
        <v>1324</v>
      </c>
      <c r="D136" s="10">
        <v>5.700563788E11</v>
      </c>
      <c r="E136" s="3" t="s">
        <v>1379</v>
      </c>
      <c r="F136" s="3" t="s">
        <v>1380</v>
      </c>
      <c r="G136" s="3" t="s">
        <v>12</v>
      </c>
      <c r="H136" s="12" t="s">
        <v>1169</v>
      </c>
      <c r="I136" s="3"/>
      <c r="J136" s="3"/>
    </row>
    <row r="137">
      <c r="A137" s="10">
        <v>457.0</v>
      </c>
      <c r="B137" s="3" t="s">
        <v>590</v>
      </c>
      <c r="C137" s="3" t="s">
        <v>675</v>
      </c>
      <c r="D137" s="10">
        <v>5.70056378802E11</v>
      </c>
      <c r="E137" s="3" t="s">
        <v>674</v>
      </c>
      <c r="F137" s="3" t="s">
        <v>1381</v>
      </c>
      <c r="G137" s="3" t="s">
        <v>12</v>
      </c>
      <c r="H137" s="12" t="s">
        <v>1382</v>
      </c>
      <c r="I137" s="3"/>
      <c r="J137" s="3"/>
    </row>
    <row r="138">
      <c r="A138" s="10">
        <v>458.0</v>
      </c>
      <c r="B138" s="3" t="s">
        <v>201</v>
      </c>
      <c r="C138" s="3" t="s">
        <v>362</v>
      </c>
      <c r="D138" s="10">
        <v>5.70056378807E11</v>
      </c>
      <c r="E138" s="3" t="s">
        <v>1383</v>
      </c>
      <c r="F138" s="3" t="s">
        <v>1384</v>
      </c>
      <c r="G138" s="3" t="s">
        <v>12</v>
      </c>
      <c r="H138" s="12" t="s">
        <v>13</v>
      </c>
      <c r="I138" s="3"/>
      <c r="J138" s="3"/>
    </row>
    <row r="139">
      <c r="A139" s="10">
        <v>459.0</v>
      </c>
      <c r="B139" s="3" t="s">
        <v>144</v>
      </c>
      <c r="C139" s="3" t="s">
        <v>248</v>
      </c>
      <c r="D139" s="10">
        <v>5.70056378808E11</v>
      </c>
      <c r="E139" s="3" t="s">
        <v>166</v>
      </c>
      <c r="F139" s="3" t="s">
        <v>1385</v>
      </c>
      <c r="G139" s="3" t="s">
        <v>12</v>
      </c>
      <c r="H139" s="12" t="s">
        <v>1386</v>
      </c>
      <c r="I139" s="3"/>
      <c r="J139" s="3"/>
    </row>
    <row r="140">
      <c r="A140" s="10">
        <v>460.0</v>
      </c>
      <c r="B140" s="3" t="s">
        <v>1387</v>
      </c>
      <c r="C140" s="3" t="s">
        <v>645</v>
      </c>
      <c r="D140" s="10">
        <v>5.7005637881E11</v>
      </c>
      <c r="E140" s="3" t="s">
        <v>1388</v>
      </c>
      <c r="F140" s="3" t="s">
        <v>1389</v>
      </c>
      <c r="G140" s="3" t="s">
        <v>12</v>
      </c>
      <c r="H140" s="12" t="s">
        <v>13</v>
      </c>
      <c r="I140" s="3"/>
      <c r="J140" s="3"/>
    </row>
    <row r="141">
      <c r="A141" s="10">
        <v>461.0</v>
      </c>
      <c r="B141" s="3" t="s">
        <v>1390</v>
      </c>
      <c r="C141" s="3" t="s">
        <v>1391</v>
      </c>
      <c r="D141" s="10">
        <v>5.70056378815E11</v>
      </c>
      <c r="E141" s="3" t="s">
        <v>1284</v>
      </c>
      <c r="F141" s="3" t="s">
        <v>1392</v>
      </c>
      <c r="G141" s="3" t="s">
        <v>12</v>
      </c>
      <c r="H141" s="12" t="s">
        <v>1393</v>
      </c>
      <c r="I141" s="3"/>
      <c r="J141" s="3"/>
    </row>
    <row r="142">
      <c r="A142" s="10">
        <v>462.0</v>
      </c>
      <c r="B142" s="3" t="s">
        <v>1394</v>
      </c>
      <c r="C142" s="3" t="s">
        <v>1257</v>
      </c>
      <c r="D142" s="10">
        <v>5.70056378816E11</v>
      </c>
      <c r="E142" s="3" t="s">
        <v>1271</v>
      </c>
      <c r="F142" s="3" t="s">
        <v>1395</v>
      </c>
      <c r="G142" s="3" t="s">
        <v>12</v>
      </c>
      <c r="H142" s="12" t="s">
        <v>13</v>
      </c>
      <c r="I142" s="3"/>
      <c r="J142" s="3"/>
    </row>
    <row r="143">
      <c r="A143" s="10">
        <v>463.0</v>
      </c>
      <c r="B143" s="3" t="s">
        <v>150</v>
      </c>
      <c r="C143" s="3" t="s">
        <v>662</v>
      </c>
      <c r="D143" s="10">
        <v>5.70056378819E11</v>
      </c>
      <c r="E143" s="3" t="s">
        <v>1072</v>
      </c>
      <c r="F143" s="3" t="s">
        <v>1396</v>
      </c>
      <c r="G143" s="3" t="s">
        <v>12</v>
      </c>
      <c r="H143" s="12" t="s">
        <v>13</v>
      </c>
      <c r="I143" s="3"/>
      <c r="J143" s="3"/>
    </row>
    <row r="144">
      <c r="A144" s="10">
        <v>464.0</v>
      </c>
      <c r="B144" s="3" t="s">
        <v>1397</v>
      </c>
      <c r="C144" s="3" t="s">
        <v>1399</v>
      </c>
      <c r="D144" s="10">
        <v>5.70056378822E11</v>
      </c>
      <c r="E144" s="3" t="s">
        <v>1398</v>
      </c>
      <c r="F144" s="3" t="s">
        <v>1400</v>
      </c>
      <c r="G144" s="3" t="s">
        <v>12</v>
      </c>
      <c r="H144" s="12" t="s">
        <v>13</v>
      </c>
      <c r="I144" s="3"/>
      <c r="J144" s="3"/>
    </row>
    <row r="145">
      <c r="A145" s="10">
        <v>465.0</v>
      </c>
      <c r="B145" s="3" t="s">
        <v>201</v>
      </c>
      <c r="C145" s="3" t="s">
        <v>1391</v>
      </c>
      <c r="D145" s="10">
        <v>5.70056378823E11</v>
      </c>
      <c r="E145" s="3" t="s">
        <v>1284</v>
      </c>
      <c r="F145" s="3" t="s">
        <v>1401</v>
      </c>
      <c r="G145" s="3" t="s">
        <v>12</v>
      </c>
      <c r="H145" s="12" t="s">
        <v>1393</v>
      </c>
      <c r="I145" s="3"/>
      <c r="J145" s="3"/>
    </row>
    <row r="146">
      <c r="A146" s="10">
        <v>466.0</v>
      </c>
      <c r="B146" s="3" t="s">
        <v>1398</v>
      </c>
      <c r="C146" s="3" t="s">
        <v>1403</v>
      </c>
      <c r="D146" s="10">
        <v>5.70056378824E11</v>
      </c>
      <c r="E146" s="3" t="s">
        <v>1402</v>
      </c>
      <c r="F146" s="3" t="s">
        <v>1404</v>
      </c>
      <c r="G146" s="3" t="s">
        <v>12</v>
      </c>
      <c r="H146" s="12" t="s">
        <v>1393</v>
      </c>
      <c r="I146" s="3"/>
      <c r="J146" s="3"/>
    </row>
    <row r="147">
      <c r="A147" s="10">
        <v>467.0</v>
      </c>
      <c r="B147" s="3" t="s">
        <v>1405</v>
      </c>
      <c r="C147" s="3" t="s">
        <v>645</v>
      </c>
      <c r="D147" s="10">
        <v>5.70056378826E11</v>
      </c>
      <c r="E147" s="3" t="s">
        <v>1406</v>
      </c>
      <c r="F147" s="3" t="s">
        <v>1407</v>
      </c>
      <c r="G147" s="3" t="s">
        <v>12</v>
      </c>
      <c r="H147" s="12" t="s">
        <v>13</v>
      </c>
      <c r="I147" s="3"/>
      <c r="J147" s="3"/>
    </row>
    <row r="148">
      <c r="A148" s="10">
        <v>468.0</v>
      </c>
      <c r="B148" s="3" t="s">
        <v>1408</v>
      </c>
      <c r="C148" s="3" t="s">
        <v>763</v>
      </c>
      <c r="D148" s="10">
        <v>5.70056378829E11</v>
      </c>
      <c r="E148" s="3" t="s">
        <v>1387</v>
      </c>
      <c r="F148" s="3" t="s">
        <v>1409</v>
      </c>
      <c r="G148" s="3" t="s">
        <v>12</v>
      </c>
      <c r="H148" s="12" t="s">
        <v>13</v>
      </c>
      <c r="I148" s="3"/>
      <c r="J148" s="3"/>
    </row>
    <row r="149">
      <c r="A149" s="10">
        <v>469.0</v>
      </c>
      <c r="B149" s="3" t="s">
        <v>9</v>
      </c>
      <c r="C149" s="3" t="s">
        <v>763</v>
      </c>
      <c r="D149" s="10">
        <v>5.7005637883E11</v>
      </c>
      <c r="E149" s="3" t="s">
        <v>1387</v>
      </c>
      <c r="F149" s="3" t="s">
        <v>1410</v>
      </c>
      <c r="G149" s="3" t="s">
        <v>12</v>
      </c>
      <c r="H149" s="12" t="s">
        <v>1382</v>
      </c>
      <c r="I149" s="3"/>
      <c r="J149" s="3"/>
    </row>
    <row r="150">
      <c r="A150" s="10">
        <v>470.0</v>
      </c>
      <c r="B150" s="3" t="s">
        <v>154</v>
      </c>
      <c r="C150" s="3" t="s">
        <v>1411</v>
      </c>
      <c r="D150" s="10">
        <v>5.70056378832E11</v>
      </c>
      <c r="E150" s="3" t="s">
        <v>205</v>
      </c>
      <c r="F150" s="3" t="s">
        <v>1412</v>
      </c>
      <c r="G150" s="3" t="s">
        <v>12</v>
      </c>
      <c r="H150" s="12" t="s">
        <v>1382</v>
      </c>
      <c r="I150" s="3"/>
      <c r="J150" s="3"/>
    </row>
    <row r="151">
      <c r="A151" s="10">
        <v>471.0</v>
      </c>
      <c r="B151" s="3" t="s">
        <v>1413</v>
      </c>
      <c r="C151" s="3" t="s">
        <v>1414</v>
      </c>
      <c r="D151" s="10">
        <v>5.70056378833E11</v>
      </c>
      <c r="E151" s="3" t="s">
        <v>1374</v>
      </c>
      <c r="F151" s="3" t="s">
        <v>1415</v>
      </c>
      <c r="G151" s="3" t="s">
        <v>12</v>
      </c>
      <c r="H151" s="12" t="s">
        <v>1393</v>
      </c>
      <c r="I151" s="3"/>
      <c r="J151" s="3"/>
    </row>
    <row r="152">
      <c r="A152" s="10">
        <v>472.0</v>
      </c>
      <c r="B152" s="3" t="s">
        <v>1416</v>
      </c>
      <c r="C152" s="3" t="s">
        <v>1257</v>
      </c>
      <c r="D152" s="10">
        <v>5.70056378835E11</v>
      </c>
      <c r="E152" s="3" t="s">
        <v>1271</v>
      </c>
      <c r="F152" s="3" t="s">
        <v>1417</v>
      </c>
      <c r="G152" s="3" t="s">
        <v>12</v>
      </c>
      <c r="H152" s="12" t="s">
        <v>1382</v>
      </c>
      <c r="I152" s="3"/>
      <c r="J152" s="3"/>
    </row>
    <row r="153">
      <c r="A153" s="10">
        <v>473.0</v>
      </c>
      <c r="B153" s="3" t="s">
        <v>1418</v>
      </c>
      <c r="C153" s="3" t="s">
        <v>60</v>
      </c>
      <c r="D153" s="10">
        <v>5.70056378836E11</v>
      </c>
      <c r="E153" s="3" t="s">
        <v>1271</v>
      </c>
      <c r="F153" s="3" t="s">
        <v>530</v>
      </c>
      <c r="G153" s="3" t="s">
        <v>1419</v>
      </c>
      <c r="H153" s="12" t="s">
        <v>13</v>
      </c>
      <c r="I153" s="3"/>
      <c r="J153" s="3"/>
    </row>
    <row r="154">
      <c r="A154" s="10">
        <v>474.0</v>
      </c>
      <c r="B154" s="3" t="s">
        <v>1420</v>
      </c>
      <c r="C154" s="3" t="s">
        <v>1422</v>
      </c>
      <c r="D154" s="10">
        <v>5.70056378838E11</v>
      </c>
      <c r="E154" s="3" t="s">
        <v>1421</v>
      </c>
      <c r="F154" s="3" t="s">
        <v>1423</v>
      </c>
      <c r="G154" s="3" t="s">
        <v>12</v>
      </c>
      <c r="H154" s="12" t="s">
        <v>1393</v>
      </c>
      <c r="I154" s="3"/>
      <c r="J154" s="3"/>
    </row>
    <row r="155">
      <c r="A155" s="10">
        <v>475.0</v>
      </c>
      <c r="B155" s="3" t="s">
        <v>92</v>
      </c>
      <c r="C155" s="3" t="s">
        <v>277</v>
      </c>
      <c r="D155" s="10">
        <v>5.7005637884E11</v>
      </c>
      <c r="E155" s="3" t="s">
        <v>1424</v>
      </c>
      <c r="F155" s="3" t="s">
        <v>1425</v>
      </c>
      <c r="G155" s="3" t="s">
        <v>12</v>
      </c>
      <c r="H155" s="12" t="s">
        <v>13</v>
      </c>
      <c r="I155" s="3"/>
      <c r="J155" s="3"/>
    </row>
    <row r="156">
      <c r="A156" s="10">
        <v>476.0</v>
      </c>
      <c r="B156" s="3" t="s">
        <v>380</v>
      </c>
      <c r="C156" s="3" t="s">
        <v>1427</v>
      </c>
      <c r="D156" s="10">
        <v>5.70056378842E11</v>
      </c>
      <c r="E156" s="3" t="s">
        <v>1426</v>
      </c>
      <c r="F156" s="3" t="s">
        <v>1428</v>
      </c>
      <c r="G156" s="3" t="s">
        <v>12</v>
      </c>
      <c r="H156" s="12" t="s">
        <v>1393</v>
      </c>
      <c r="I156" s="3"/>
      <c r="J156" s="3"/>
    </row>
    <row r="157">
      <c r="A157" s="10">
        <v>477.0</v>
      </c>
      <c r="B157" s="3" t="s">
        <v>456</v>
      </c>
      <c r="C157" s="3" t="s">
        <v>1430</v>
      </c>
      <c r="D157" s="10">
        <v>5.70056378861E11</v>
      </c>
      <c r="E157" s="3" t="s">
        <v>1429</v>
      </c>
      <c r="F157" s="3" t="s">
        <v>1431</v>
      </c>
      <c r="G157" s="3" t="s">
        <v>12</v>
      </c>
      <c r="H157" s="12" t="s">
        <v>1382</v>
      </c>
      <c r="I157" s="3"/>
      <c r="J157" s="3"/>
    </row>
    <row r="158">
      <c r="A158" s="10">
        <v>478.0</v>
      </c>
      <c r="B158" s="3" t="s">
        <v>1203</v>
      </c>
      <c r="C158" s="3" t="s">
        <v>1257</v>
      </c>
      <c r="D158" s="10">
        <v>5.70056378872E11</v>
      </c>
      <c r="E158" s="3" t="s">
        <v>1376</v>
      </c>
      <c r="F158" s="3" t="s">
        <v>351</v>
      </c>
      <c r="G158" s="3" t="s">
        <v>12</v>
      </c>
      <c r="H158" s="12" t="s">
        <v>1382</v>
      </c>
      <c r="I158" s="3"/>
      <c r="J158" s="3"/>
    </row>
    <row r="159">
      <c r="A159" s="10">
        <v>479.0</v>
      </c>
      <c r="B159" s="3" t="s">
        <v>76</v>
      </c>
      <c r="C159" s="3" t="s">
        <v>306</v>
      </c>
      <c r="D159" s="10">
        <v>5.70056378875E11</v>
      </c>
      <c r="E159" s="3" t="s">
        <v>861</v>
      </c>
      <c r="F159" s="3" t="s">
        <v>1432</v>
      </c>
      <c r="G159" s="3" t="s">
        <v>1433</v>
      </c>
      <c r="H159" s="12" t="s">
        <v>13</v>
      </c>
      <c r="I159" s="3"/>
      <c r="J159" s="3"/>
    </row>
    <row r="160">
      <c r="A160" s="10">
        <v>480.0</v>
      </c>
      <c r="B160" s="3" t="s">
        <v>1315</v>
      </c>
      <c r="C160" s="3" t="s">
        <v>1435</v>
      </c>
      <c r="D160" s="10">
        <v>5.70056378879E11</v>
      </c>
      <c r="E160" s="3" t="s">
        <v>1434</v>
      </c>
      <c r="F160" s="3" t="s">
        <v>1436</v>
      </c>
      <c r="G160" s="3" t="s">
        <v>12</v>
      </c>
      <c r="H160" s="12" t="s">
        <v>1382</v>
      </c>
      <c r="I160" s="3"/>
      <c r="J160" s="3"/>
    </row>
    <row r="161">
      <c r="A161" s="10">
        <v>481.0</v>
      </c>
      <c r="B161" s="3" t="s">
        <v>1437</v>
      </c>
      <c r="C161" s="3" t="s">
        <v>1438</v>
      </c>
      <c r="D161" s="10">
        <v>5.70056378884E11</v>
      </c>
      <c r="E161" s="3" t="s">
        <v>116</v>
      </c>
      <c r="F161" s="3" t="s">
        <v>1439</v>
      </c>
      <c r="G161" s="3" t="s">
        <v>12</v>
      </c>
      <c r="H161" s="12" t="s">
        <v>13</v>
      </c>
      <c r="I161" s="3"/>
      <c r="J161" s="3"/>
    </row>
    <row r="162">
      <c r="A162" s="10">
        <v>482.0</v>
      </c>
      <c r="B162" s="3" t="s">
        <v>498</v>
      </c>
      <c r="C162" s="3" t="s">
        <v>1441</v>
      </c>
      <c r="D162" s="10">
        <v>5.70056378885E11</v>
      </c>
      <c r="E162" s="3" t="s">
        <v>1440</v>
      </c>
      <c r="F162" s="3" t="s">
        <v>1442</v>
      </c>
      <c r="G162" s="3" t="s">
        <v>12</v>
      </c>
      <c r="H162" s="12" t="s">
        <v>13</v>
      </c>
      <c r="I162" s="3"/>
      <c r="J162" s="3"/>
    </row>
    <row r="163">
      <c r="A163" s="10">
        <v>483.0</v>
      </c>
      <c r="B163" s="3" t="s">
        <v>1443</v>
      </c>
      <c r="C163" s="3" t="s">
        <v>1391</v>
      </c>
      <c r="D163" s="10">
        <v>5.70056378886E11</v>
      </c>
      <c r="E163" s="3" t="s">
        <v>506</v>
      </c>
      <c r="F163" s="3" t="s">
        <v>1444</v>
      </c>
      <c r="G163" s="3" t="s">
        <v>12</v>
      </c>
      <c r="H163" s="12" t="s">
        <v>1386</v>
      </c>
      <c r="I163" s="3"/>
      <c r="J163" s="3"/>
    </row>
    <row r="164">
      <c r="A164" s="10">
        <v>484.0</v>
      </c>
      <c r="B164" s="3" t="s">
        <v>252</v>
      </c>
      <c r="C164" s="3" t="s">
        <v>732</v>
      </c>
      <c r="D164" s="10">
        <v>5.70056378887E11</v>
      </c>
      <c r="E164" s="3" t="s">
        <v>506</v>
      </c>
      <c r="F164" s="3" t="s">
        <v>1445</v>
      </c>
      <c r="G164" s="3" t="s">
        <v>12</v>
      </c>
      <c r="H164" s="12" t="s">
        <v>13</v>
      </c>
      <c r="I164" s="3"/>
      <c r="J164" s="3"/>
    </row>
    <row r="165">
      <c r="A165" s="10">
        <v>485.0</v>
      </c>
      <c r="B165" s="3" t="s">
        <v>1446</v>
      </c>
      <c r="C165" s="3" t="s">
        <v>1448</v>
      </c>
      <c r="D165" s="10">
        <v>5.70056378888E11</v>
      </c>
      <c r="E165" s="3" t="s">
        <v>1447</v>
      </c>
      <c r="F165" s="3" t="s">
        <v>649</v>
      </c>
      <c r="G165" s="3" t="s">
        <v>12</v>
      </c>
      <c r="H165" s="12" t="s">
        <v>1393</v>
      </c>
      <c r="I165" s="3"/>
      <c r="J165" s="3"/>
    </row>
    <row r="166">
      <c r="A166" s="10">
        <v>486.0</v>
      </c>
      <c r="B166" s="3" t="s">
        <v>33</v>
      </c>
      <c r="C166" s="3" t="s">
        <v>1450</v>
      </c>
      <c r="D166" s="10">
        <v>5.70056378892E11</v>
      </c>
      <c r="E166" s="3" t="s">
        <v>1449</v>
      </c>
      <c r="F166" s="3" t="s">
        <v>1451</v>
      </c>
      <c r="G166" s="3" t="s">
        <v>12</v>
      </c>
      <c r="H166" s="12" t="s">
        <v>1382</v>
      </c>
      <c r="I166" s="3"/>
      <c r="J166" s="3"/>
    </row>
    <row r="167">
      <c r="A167" s="10">
        <v>487.0</v>
      </c>
      <c r="B167" s="3" t="s">
        <v>1452</v>
      </c>
      <c r="C167" s="3" t="s">
        <v>1454</v>
      </c>
      <c r="D167" s="10">
        <v>5.70056378897E11</v>
      </c>
      <c r="E167" s="3" t="s">
        <v>1453</v>
      </c>
      <c r="F167" s="3" t="s">
        <v>1455</v>
      </c>
      <c r="G167" s="3" t="s">
        <v>12</v>
      </c>
      <c r="H167" s="12" t="s">
        <v>1382</v>
      </c>
      <c r="I167" s="3"/>
      <c r="J167" s="3"/>
    </row>
    <row r="168">
      <c r="A168" s="10">
        <v>488.0</v>
      </c>
      <c r="B168" s="3" t="s">
        <v>508</v>
      </c>
      <c r="C168" s="3" t="s">
        <v>152</v>
      </c>
      <c r="D168" s="10">
        <v>5.70056378898E11</v>
      </c>
      <c r="E168" s="3" t="s">
        <v>1456</v>
      </c>
      <c r="F168" s="3" t="s">
        <v>1457</v>
      </c>
      <c r="G168" s="3" t="s">
        <v>12</v>
      </c>
      <c r="H168" s="12" t="s">
        <v>1382</v>
      </c>
      <c r="I168" s="3"/>
      <c r="J168" s="3"/>
    </row>
    <row r="169">
      <c r="A169" s="10">
        <v>489.0</v>
      </c>
      <c r="B169" s="3" t="s">
        <v>1458</v>
      </c>
      <c r="C169" s="3" t="s">
        <v>732</v>
      </c>
      <c r="D169" s="10">
        <v>5.70056378899E11</v>
      </c>
      <c r="E169" s="3" t="s">
        <v>506</v>
      </c>
      <c r="F169" s="3" t="s">
        <v>1459</v>
      </c>
      <c r="G169" s="3" t="s">
        <v>12</v>
      </c>
      <c r="H169" s="12" t="s">
        <v>1382</v>
      </c>
      <c r="I169" s="3"/>
      <c r="J169" s="3"/>
    </row>
    <row r="170">
      <c r="A170" s="10">
        <v>490.0</v>
      </c>
      <c r="B170" s="3" t="s">
        <v>751</v>
      </c>
      <c r="C170" s="3" t="s">
        <v>515</v>
      </c>
      <c r="D170" s="10">
        <v>5.700563789E11</v>
      </c>
      <c r="E170" s="3" t="s">
        <v>508</v>
      </c>
      <c r="F170" s="3" t="s">
        <v>1460</v>
      </c>
      <c r="G170" s="3" t="s">
        <v>12</v>
      </c>
      <c r="H170" s="12" t="s">
        <v>13</v>
      </c>
      <c r="I170" s="3"/>
      <c r="J170" s="3"/>
    </row>
    <row r="171">
      <c r="A171" s="10">
        <v>491.0</v>
      </c>
      <c r="B171" s="3" t="s">
        <v>1461</v>
      </c>
      <c r="C171" s="3" t="s">
        <v>1463</v>
      </c>
      <c r="D171" s="10">
        <v>5.70056378902E11</v>
      </c>
      <c r="E171" s="3" t="s">
        <v>1462</v>
      </c>
      <c r="F171" s="3" t="s">
        <v>1464</v>
      </c>
      <c r="G171" s="3" t="s">
        <v>12</v>
      </c>
      <c r="H171" s="12" t="s">
        <v>13</v>
      </c>
      <c r="I171" s="3"/>
      <c r="J171" s="3"/>
    </row>
    <row r="172">
      <c r="A172" s="10">
        <v>492.0</v>
      </c>
      <c r="B172" s="3" t="s">
        <v>1376</v>
      </c>
      <c r="C172" s="3" t="s">
        <v>1465</v>
      </c>
      <c r="D172" s="10">
        <v>5.70056378905E11</v>
      </c>
      <c r="E172" s="3" t="s">
        <v>1461</v>
      </c>
      <c r="F172" s="3" t="s">
        <v>1466</v>
      </c>
      <c r="G172" s="3" t="s">
        <v>12</v>
      </c>
      <c r="H172" s="12" t="s">
        <v>13</v>
      </c>
      <c r="I172" s="3"/>
      <c r="J172" s="3"/>
    </row>
    <row r="173">
      <c r="A173" s="10">
        <v>493.0</v>
      </c>
      <c r="B173" s="3" t="s">
        <v>33</v>
      </c>
      <c r="C173" s="3" t="s">
        <v>88</v>
      </c>
      <c r="D173" s="10">
        <v>5.70056378909E11</v>
      </c>
      <c r="E173" s="3" t="s">
        <v>87</v>
      </c>
      <c r="F173" s="3" t="s">
        <v>1467</v>
      </c>
      <c r="G173" s="3" t="s">
        <v>37</v>
      </c>
      <c r="H173" s="12" t="s">
        <v>13</v>
      </c>
      <c r="I173" s="3"/>
      <c r="J173" s="3"/>
    </row>
    <row r="174">
      <c r="A174" s="10">
        <v>494.0</v>
      </c>
      <c r="B174" s="3" t="s">
        <v>252</v>
      </c>
      <c r="C174" s="3" t="s">
        <v>1469</v>
      </c>
      <c r="D174" s="10">
        <v>5.70056378913E11</v>
      </c>
      <c r="E174" s="3" t="s">
        <v>1468</v>
      </c>
      <c r="F174" s="3" t="s">
        <v>1470</v>
      </c>
      <c r="G174" s="3" t="s">
        <v>37</v>
      </c>
      <c r="H174" s="12" t="s">
        <v>13</v>
      </c>
      <c r="I174" s="3"/>
      <c r="J174" s="3"/>
    </row>
    <row r="175">
      <c r="A175" s="10">
        <v>495.0</v>
      </c>
      <c r="B175" s="3" t="s">
        <v>1471</v>
      </c>
      <c r="C175" s="3" t="s">
        <v>779</v>
      </c>
      <c r="D175" s="10">
        <v>5.70056378917E11</v>
      </c>
      <c r="E175" s="3" t="s">
        <v>1472</v>
      </c>
      <c r="F175" s="3" t="s">
        <v>1473</v>
      </c>
      <c r="G175" s="3" t="s">
        <v>37</v>
      </c>
      <c r="H175" s="12" t="s">
        <v>13</v>
      </c>
      <c r="I175" s="3"/>
      <c r="J175" s="3"/>
    </row>
    <row r="176">
      <c r="A176" s="10">
        <v>496.0</v>
      </c>
      <c r="B176" s="3" t="s">
        <v>1472</v>
      </c>
      <c r="C176" s="3" t="s">
        <v>1475</v>
      </c>
      <c r="D176" s="10">
        <v>5.70056378918E11</v>
      </c>
      <c r="E176" s="3" t="s">
        <v>1474</v>
      </c>
      <c r="F176" s="3" t="s">
        <v>1464</v>
      </c>
      <c r="G176" s="3" t="s">
        <v>12</v>
      </c>
      <c r="H176" s="12" t="s">
        <v>13</v>
      </c>
      <c r="I176" s="3"/>
      <c r="J176" s="3"/>
    </row>
    <row r="177">
      <c r="A177" s="10">
        <v>497.0</v>
      </c>
      <c r="B177" s="3" t="s">
        <v>1476</v>
      </c>
      <c r="C177" s="3" t="s">
        <v>1477</v>
      </c>
      <c r="D177" s="10">
        <v>5.70056378929E11</v>
      </c>
      <c r="E177" s="3" t="s">
        <v>136</v>
      </c>
      <c r="F177" s="3" t="s">
        <v>1478</v>
      </c>
      <c r="G177" s="3" t="s">
        <v>12</v>
      </c>
      <c r="H177" s="12" t="s">
        <v>13</v>
      </c>
      <c r="I177" s="3"/>
      <c r="J177" s="3"/>
    </row>
    <row r="178">
      <c r="A178" s="10">
        <v>498.0</v>
      </c>
      <c r="B178" s="3" t="s">
        <v>1479</v>
      </c>
      <c r="C178" s="3" t="s">
        <v>100</v>
      </c>
      <c r="D178" s="10">
        <v>5.70056378932E11</v>
      </c>
      <c r="E178" s="3" t="s">
        <v>107</v>
      </c>
      <c r="F178" s="3" t="s">
        <v>1480</v>
      </c>
      <c r="G178" s="3" t="s">
        <v>37</v>
      </c>
      <c r="H178" s="12" t="s">
        <v>13</v>
      </c>
      <c r="I178" s="3"/>
      <c r="J178" s="3"/>
    </row>
    <row r="179">
      <c r="A179" s="10">
        <v>499.0</v>
      </c>
      <c r="B179" s="3" t="s">
        <v>1481</v>
      </c>
      <c r="C179" s="3" t="s">
        <v>1483</v>
      </c>
      <c r="D179" s="10">
        <v>5.70056378935E11</v>
      </c>
      <c r="E179" s="3" t="s">
        <v>1482</v>
      </c>
      <c r="F179" s="3" t="s">
        <v>1484</v>
      </c>
      <c r="G179" s="3" t="s">
        <v>12</v>
      </c>
      <c r="H179" s="12" t="s">
        <v>13</v>
      </c>
      <c r="I179" s="3"/>
      <c r="J179" s="3"/>
    </row>
    <row r="180">
      <c r="A180" s="10">
        <v>500.0</v>
      </c>
      <c r="B180" s="3" t="s">
        <v>1315</v>
      </c>
      <c r="C180" s="3" t="s">
        <v>700</v>
      </c>
      <c r="D180" s="10">
        <v>5.70056378936E11</v>
      </c>
      <c r="E180" s="3" t="s">
        <v>1485</v>
      </c>
      <c r="F180" s="3" t="s">
        <v>1486</v>
      </c>
      <c r="G180" s="3" t="s">
        <v>62</v>
      </c>
      <c r="H180" s="12" t="s">
        <v>13</v>
      </c>
      <c r="I180" s="3"/>
      <c r="J180" s="3"/>
    </row>
    <row r="181">
      <c r="A181" s="10">
        <v>501.0</v>
      </c>
      <c r="B181" s="3" t="s">
        <v>1487</v>
      </c>
      <c r="C181" s="3" t="s">
        <v>1488</v>
      </c>
      <c r="D181" s="10">
        <v>5.70056378942E11</v>
      </c>
      <c r="E181" s="3" t="s">
        <v>8</v>
      </c>
      <c r="F181" s="3" t="s">
        <v>405</v>
      </c>
      <c r="G181" s="3" t="s">
        <v>50</v>
      </c>
      <c r="H181" s="12" t="s">
        <v>13</v>
      </c>
      <c r="I181" s="3"/>
      <c r="J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>
      <c r="A184" s="3" t="s">
        <v>0</v>
      </c>
      <c r="B184" s="3" t="s">
        <v>1</v>
      </c>
      <c r="C184" s="3" t="s">
        <v>2</v>
      </c>
      <c r="D184" s="3" t="s">
        <v>3</v>
      </c>
      <c r="E184" s="3" t="s">
        <v>4</v>
      </c>
      <c r="F184" s="3" t="s">
        <v>5</v>
      </c>
      <c r="G184" s="3" t="s">
        <v>6</v>
      </c>
      <c r="H184" s="3" t="s">
        <v>7</v>
      </c>
      <c r="I184" s="3"/>
      <c r="J184" s="3"/>
      <c r="K184" s="3"/>
    </row>
    <row r="185">
      <c r="A185" s="10">
        <v>592.0</v>
      </c>
      <c r="B185" s="3" t="s">
        <v>1785</v>
      </c>
      <c r="C185" s="3" t="s">
        <v>254</v>
      </c>
      <c r="D185" s="3" t="s">
        <v>1060</v>
      </c>
      <c r="E185" s="10">
        <v>5.70056000179E11</v>
      </c>
      <c r="F185" s="3" t="s">
        <v>1786</v>
      </c>
      <c r="G185" s="3" t="s">
        <v>62</v>
      </c>
      <c r="H185" s="3" t="s">
        <v>70</v>
      </c>
      <c r="I185" s="3" t="s">
        <v>71</v>
      </c>
      <c r="J185" s="3" t="s">
        <v>72</v>
      </c>
      <c r="K185" s="3"/>
    </row>
    <row r="186">
      <c r="A186" s="10">
        <v>593.0</v>
      </c>
      <c r="B186" s="3" t="s">
        <v>1787</v>
      </c>
      <c r="C186" s="3" t="s">
        <v>1788</v>
      </c>
      <c r="D186" s="3" t="s">
        <v>933</v>
      </c>
      <c r="E186" s="10">
        <v>5.70056000181E11</v>
      </c>
      <c r="F186" s="3" t="s">
        <v>1789</v>
      </c>
      <c r="G186" s="3" t="s">
        <v>62</v>
      </c>
      <c r="H186" s="3" t="s">
        <v>70</v>
      </c>
      <c r="I186" s="3" t="s">
        <v>71</v>
      </c>
      <c r="J186" s="3" t="s">
        <v>72</v>
      </c>
      <c r="K186" s="3"/>
    </row>
    <row r="187">
      <c r="A187" s="10">
        <v>594.0</v>
      </c>
      <c r="B187" s="3" t="s">
        <v>945</v>
      </c>
      <c r="C187" s="3" t="s">
        <v>724</v>
      </c>
      <c r="D187" s="3" t="s">
        <v>1790</v>
      </c>
      <c r="E187" s="10">
        <v>5.70056000182E11</v>
      </c>
      <c r="F187" s="3" t="s">
        <v>1791</v>
      </c>
      <c r="G187" s="3" t="s">
        <v>12</v>
      </c>
      <c r="H187" s="3" t="s">
        <v>70</v>
      </c>
      <c r="I187" s="3" t="s">
        <v>71</v>
      </c>
      <c r="J187" s="3" t="s">
        <v>72</v>
      </c>
      <c r="K187" s="3"/>
    </row>
    <row r="188">
      <c r="A188" s="10">
        <v>595.0</v>
      </c>
      <c r="B188" s="3" t="s">
        <v>173</v>
      </c>
      <c r="C188" s="3" t="s">
        <v>1792</v>
      </c>
      <c r="D188" s="3" t="s">
        <v>692</v>
      </c>
      <c r="E188" s="10">
        <v>5.70056000188E11</v>
      </c>
      <c r="F188" s="3" t="s">
        <v>1793</v>
      </c>
      <c r="G188" s="3" t="s">
        <v>50</v>
      </c>
      <c r="H188" s="3" t="s">
        <v>70</v>
      </c>
      <c r="I188" s="3" t="s">
        <v>71</v>
      </c>
      <c r="J188" s="3" t="s">
        <v>72</v>
      </c>
      <c r="K188" s="3"/>
    </row>
    <row r="189">
      <c r="A189" s="10">
        <v>596.0</v>
      </c>
      <c r="B189" s="3" t="s">
        <v>1794</v>
      </c>
      <c r="C189" s="3" t="s">
        <v>181</v>
      </c>
      <c r="D189" s="3" t="s">
        <v>1795</v>
      </c>
      <c r="E189" s="10">
        <v>5.7005600019E11</v>
      </c>
      <c r="F189" s="3" t="s">
        <v>1796</v>
      </c>
      <c r="G189" s="3" t="s">
        <v>62</v>
      </c>
      <c r="H189" s="3" t="s">
        <v>70</v>
      </c>
      <c r="I189" s="3" t="s">
        <v>71</v>
      </c>
      <c r="J189" s="3" t="s">
        <v>72</v>
      </c>
      <c r="K189" s="3"/>
    </row>
    <row r="190">
      <c r="A190" s="10">
        <v>597.0</v>
      </c>
      <c r="B190" s="3" t="s">
        <v>169</v>
      </c>
      <c r="C190" s="3" t="s">
        <v>252</v>
      </c>
      <c r="D190" s="3" t="s">
        <v>48</v>
      </c>
      <c r="E190" s="10">
        <v>5.70056000193E11</v>
      </c>
      <c r="F190" s="3" t="s">
        <v>1797</v>
      </c>
      <c r="G190" s="3" t="s">
        <v>12</v>
      </c>
      <c r="H190" s="3" t="s">
        <v>70</v>
      </c>
      <c r="I190" s="3" t="s">
        <v>71</v>
      </c>
      <c r="J190" s="3" t="s">
        <v>72</v>
      </c>
      <c r="K190" s="3"/>
    </row>
    <row r="191">
      <c r="A191" s="10">
        <v>598.0</v>
      </c>
      <c r="B191" s="3" t="s">
        <v>1798</v>
      </c>
      <c r="C191" s="3" t="s">
        <v>151</v>
      </c>
      <c r="D191" s="3" t="s">
        <v>515</v>
      </c>
      <c r="E191" s="10">
        <v>5.70056000194E11</v>
      </c>
      <c r="F191" s="3" t="s">
        <v>1799</v>
      </c>
      <c r="G191" s="3" t="s">
        <v>12</v>
      </c>
      <c r="H191" s="3" t="s">
        <v>70</v>
      </c>
      <c r="I191" s="3" t="s">
        <v>71</v>
      </c>
      <c r="J191" s="3" t="s">
        <v>72</v>
      </c>
      <c r="K191" s="3"/>
    </row>
    <row r="192">
      <c r="A192" s="10">
        <v>599.0</v>
      </c>
      <c r="B192" s="3" t="s">
        <v>1800</v>
      </c>
      <c r="C192" s="3" t="s">
        <v>1801</v>
      </c>
      <c r="D192" s="3" t="s">
        <v>1802</v>
      </c>
      <c r="E192" s="10">
        <v>5.70056000196E11</v>
      </c>
      <c r="F192" s="3" t="s">
        <v>1803</v>
      </c>
      <c r="G192" s="3" t="s">
        <v>12</v>
      </c>
      <c r="H192" s="3" t="s">
        <v>70</v>
      </c>
      <c r="I192" s="3" t="s">
        <v>71</v>
      </c>
      <c r="J192" s="3" t="s">
        <v>72</v>
      </c>
      <c r="K192" s="3"/>
    </row>
    <row r="193">
      <c r="A193" s="10">
        <v>600.0</v>
      </c>
      <c r="B193" s="3" t="s">
        <v>1804</v>
      </c>
      <c r="C193" s="3" t="s">
        <v>1434</v>
      </c>
      <c r="D193" s="3" t="s">
        <v>743</v>
      </c>
      <c r="E193" s="10">
        <v>5.70056000198E11</v>
      </c>
      <c r="F193" s="3" t="s">
        <v>1805</v>
      </c>
      <c r="G193" s="3" t="s">
        <v>50</v>
      </c>
      <c r="H193" s="3" t="s">
        <v>70</v>
      </c>
      <c r="I193" s="3" t="s">
        <v>71</v>
      </c>
      <c r="J193" s="3" t="s">
        <v>72</v>
      </c>
      <c r="K193" s="3"/>
    </row>
    <row r="194">
      <c r="A194" s="10">
        <v>601.0</v>
      </c>
      <c r="B194" s="3" t="s">
        <v>1806</v>
      </c>
      <c r="C194" s="3" t="s">
        <v>136</v>
      </c>
      <c r="D194" s="3" t="s">
        <v>1477</v>
      </c>
      <c r="E194" s="10">
        <v>5.700560002E11</v>
      </c>
      <c r="F194" s="3" t="s">
        <v>1807</v>
      </c>
      <c r="G194" s="3" t="s">
        <v>62</v>
      </c>
      <c r="H194" s="3" t="s">
        <v>70</v>
      </c>
      <c r="I194" s="3" t="s">
        <v>71</v>
      </c>
      <c r="J194" s="3" t="s">
        <v>72</v>
      </c>
      <c r="K194" s="3"/>
    </row>
    <row r="195">
      <c r="A195" s="10">
        <v>602.0</v>
      </c>
      <c r="B195" s="3" t="s">
        <v>1808</v>
      </c>
      <c r="C195" s="3" t="s">
        <v>1809</v>
      </c>
      <c r="D195" s="3" t="s">
        <v>1810</v>
      </c>
      <c r="E195" s="10">
        <v>5.70056000049E11</v>
      </c>
      <c r="F195" s="3" t="s">
        <v>1811</v>
      </c>
      <c r="G195" s="3" t="s">
        <v>50</v>
      </c>
      <c r="H195" s="3" t="s">
        <v>70</v>
      </c>
      <c r="I195" s="3" t="s">
        <v>71</v>
      </c>
      <c r="J195" s="3" t="s">
        <v>72</v>
      </c>
      <c r="K195" s="3"/>
    </row>
    <row r="196">
      <c r="A196" s="10">
        <v>603.0</v>
      </c>
      <c r="B196" s="3" t="s">
        <v>1812</v>
      </c>
      <c r="C196" s="3" t="s">
        <v>181</v>
      </c>
      <c r="D196" s="3" t="s">
        <v>959</v>
      </c>
      <c r="E196" s="10">
        <v>5.70056000053E11</v>
      </c>
      <c r="F196" s="3" t="s">
        <v>1813</v>
      </c>
      <c r="G196" s="3" t="s">
        <v>1814</v>
      </c>
      <c r="H196" s="3" t="s">
        <v>70</v>
      </c>
      <c r="I196" s="3" t="s">
        <v>71</v>
      </c>
      <c r="J196" s="3" t="s">
        <v>72</v>
      </c>
      <c r="K196" s="3"/>
    </row>
    <row r="197">
      <c r="A197" s="10">
        <v>604.0</v>
      </c>
      <c r="B197" s="3" t="s">
        <v>1815</v>
      </c>
      <c r="C197" s="3" t="s">
        <v>461</v>
      </c>
      <c r="D197" s="3" t="s">
        <v>1477</v>
      </c>
      <c r="E197" s="10">
        <v>5.7005600098E10</v>
      </c>
      <c r="F197" s="3" t="s">
        <v>1816</v>
      </c>
      <c r="G197" s="3" t="s">
        <v>12</v>
      </c>
      <c r="H197" s="3" t="s">
        <v>70</v>
      </c>
      <c r="I197" s="3" t="s">
        <v>71</v>
      </c>
      <c r="J197" s="3" t="s">
        <v>72</v>
      </c>
      <c r="K197" s="3"/>
    </row>
    <row r="198">
      <c r="A198" s="10">
        <v>605.0</v>
      </c>
      <c r="B198" s="3" t="s">
        <v>667</v>
      </c>
      <c r="C198" s="3" t="s">
        <v>8</v>
      </c>
      <c r="D198" s="3" t="s">
        <v>1817</v>
      </c>
      <c r="E198" s="10">
        <v>5.70056000125E11</v>
      </c>
      <c r="F198" s="3" t="s">
        <v>1818</v>
      </c>
      <c r="G198" s="3" t="s">
        <v>12</v>
      </c>
      <c r="H198" s="3" t="s">
        <v>70</v>
      </c>
      <c r="I198" s="3" t="s">
        <v>71</v>
      </c>
      <c r="J198" s="3" t="s">
        <v>72</v>
      </c>
      <c r="K198" s="3"/>
    </row>
    <row r="199">
      <c r="A199" s="10">
        <v>606.0</v>
      </c>
      <c r="B199" s="3" t="s">
        <v>120</v>
      </c>
      <c r="C199" s="3" t="s">
        <v>1819</v>
      </c>
      <c r="D199" s="3" t="s">
        <v>1820</v>
      </c>
      <c r="E199" s="10">
        <v>5.70056000135E11</v>
      </c>
      <c r="F199" s="3" t="s">
        <v>1821</v>
      </c>
      <c r="G199" s="3" t="s">
        <v>50</v>
      </c>
      <c r="H199" s="3" t="s">
        <v>70</v>
      </c>
      <c r="I199" s="3" t="s">
        <v>71</v>
      </c>
      <c r="J199" s="3" t="s">
        <v>72</v>
      </c>
      <c r="K199" s="3"/>
    </row>
    <row r="200">
      <c r="A200" s="10">
        <v>607.0</v>
      </c>
      <c r="B200" s="3" t="s">
        <v>1822</v>
      </c>
      <c r="C200" s="3" t="s">
        <v>1823</v>
      </c>
      <c r="D200" s="3" t="s">
        <v>88</v>
      </c>
      <c r="E200" s="10">
        <v>5.70056000155E11</v>
      </c>
      <c r="F200" s="3" t="s">
        <v>1824</v>
      </c>
      <c r="G200" s="3" t="s">
        <v>62</v>
      </c>
      <c r="H200" s="3" t="s">
        <v>70</v>
      </c>
      <c r="I200" s="3" t="s">
        <v>71</v>
      </c>
      <c r="J200" s="3" t="s">
        <v>72</v>
      </c>
      <c r="K200" s="3"/>
    </row>
    <row r="201">
      <c r="A201" s="10">
        <v>608.0</v>
      </c>
      <c r="B201" s="3" t="s">
        <v>1825</v>
      </c>
      <c r="C201" s="3" t="s">
        <v>124</v>
      </c>
      <c r="D201" s="3" t="s">
        <v>1826</v>
      </c>
      <c r="E201" s="10">
        <v>5.70056000197E11</v>
      </c>
      <c r="F201" s="3" t="s">
        <v>1827</v>
      </c>
      <c r="G201" s="3" t="s">
        <v>62</v>
      </c>
      <c r="H201" s="3" t="s">
        <v>70</v>
      </c>
      <c r="I201" s="3" t="s">
        <v>71</v>
      </c>
      <c r="J201" s="3" t="s">
        <v>72</v>
      </c>
      <c r="K201" s="3"/>
    </row>
    <row r="202">
      <c r="A202" s="10">
        <v>609.0</v>
      </c>
      <c r="B202" s="3" t="s">
        <v>589</v>
      </c>
      <c r="C202" s="3" t="s">
        <v>33</v>
      </c>
      <c r="D202" s="3" t="s">
        <v>1828</v>
      </c>
      <c r="E202" s="10">
        <v>5.70056000034E11</v>
      </c>
      <c r="F202" s="3" t="s">
        <v>1829</v>
      </c>
      <c r="G202" s="3" t="s">
        <v>50</v>
      </c>
      <c r="H202" s="3" t="s">
        <v>70</v>
      </c>
      <c r="I202" s="3" t="s">
        <v>71</v>
      </c>
      <c r="J202" s="3" t="s">
        <v>72</v>
      </c>
      <c r="K202" s="3"/>
    </row>
    <row r="203">
      <c r="A203" s="10">
        <v>610.0</v>
      </c>
      <c r="B203" s="3" t="s">
        <v>1830</v>
      </c>
      <c r="C203" s="3" t="s">
        <v>1831</v>
      </c>
      <c r="D203" s="3" t="s">
        <v>366</v>
      </c>
      <c r="E203" s="10">
        <v>5.70056000057E11</v>
      </c>
      <c r="F203" s="3" t="s">
        <v>1832</v>
      </c>
      <c r="G203" s="3" t="s">
        <v>50</v>
      </c>
      <c r="H203" s="3" t="s">
        <v>70</v>
      </c>
      <c r="I203" s="3" t="s">
        <v>71</v>
      </c>
      <c r="J203" s="3" t="s">
        <v>72</v>
      </c>
      <c r="K203" s="3"/>
      <c r="L203" s="3"/>
      <c r="M203" s="3"/>
    </row>
    <row r="204">
      <c r="A204" s="10">
        <v>611.0</v>
      </c>
      <c r="B204" s="3" t="s">
        <v>1833</v>
      </c>
      <c r="C204" s="3" t="s">
        <v>1834</v>
      </c>
      <c r="D204" s="3" t="s">
        <v>1835</v>
      </c>
      <c r="E204" s="10">
        <v>5.700560001E11</v>
      </c>
      <c r="F204" s="3" t="s">
        <v>1836</v>
      </c>
      <c r="G204" s="3" t="s">
        <v>62</v>
      </c>
      <c r="H204" s="3" t="s">
        <v>70</v>
      </c>
      <c r="I204" s="3" t="s">
        <v>71</v>
      </c>
      <c r="J204" s="3" t="s">
        <v>72</v>
      </c>
      <c r="K204" s="3"/>
      <c r="L204" s="3"/>
      <c r="M204" s="3"/>
    </row>
    <row r="205">
      <c r="A205" s="10">
        <v>612.0</v>
      </c>
      <c r="B205" s="3" t="s">
        <v>372</v>
      </c>
      <c r="C205" s="3" t="s">
        <v>1837</v>
      </c>
      <c r="D205" s="3" t="s">
        <v>88</v>
      </c>
      <c r="E205" s="10">
        <v>5.70056000199E11</v>
      </c>
      <c r="F205" s="3" t="s">
        <v>1838</v>
      </c>
      <c r="G205" s="3" t="s">
        <v>12</v>
      </c>
      <c r="H205" s="3" t="s">
        <v>70</v>
      </c>
      <c r="I205" s="3" t="s">
        <v>71</v>
      </c>
      <c r="J205" s="3" t="s">
        <v>72</v>
      </c>
      <c r="K205" s="3"/>
      <c r="L205" s="3"/>
      <c r="M205" s="3"/>
    </row>
    <row r="206">
      <c r="A206" s="10">
        <v>613.0</v>
      </c>
      <c r="B206" s="3" t="s">
        <v>1839</v>
      </c>
      <c r="C206" s="3" t="s">
        <v>1840</v>
      </c>
      <c r="D206" s="3" t="s">
        <v>1841</v>
      </c>
      <c r="E206" s="10">
        <v>5.70056000061E11</v>
      </c>
      <c r="F206" s="3" t="s">
        <v>1842</v>
      </c>
      <c r="G206" s="3" t="s">
        <v>651</v>
      </c>
      <c r="H206" s="3" t="s">
        <v>70</v>
      </c>
      <c r="I206" s="3" t="s">
        <v>71</v>
      </c>
      <c r="J206" s="3" t="s">
        <v>72</v>
      </c>
      <c r="K206" s="3"/>
      <c r="L206" s="3"/>
      <c r="M206" s="3"/>
    </row>
    <row r="207">
      <c r="A207" s="10">
        <v>614.0</v>
      </c>
      <c r="B207" s="3" t="s">
        <v>1843</v>
      </c>
      <c r="C207" s="3" t="s">
        <v>1844</v>
      </c>
      <c r="D207" s="3" t="s">
        <v>1845</v>
      </c>
      <c r="E207" s="10">
        <v>5.70056000078E11</v>
      </c>
      <c r="F207" s="3" t="s">
        <v>1846</v>
      </c>
      <c r="G207" s="3" t="s">
        <v>50</v>
      </c>
      <c r="H207" s="3" t="s">
        <v>70</v>
      </c>
      <c r="I207" s="3" t="s">
        <v>71</v>
      </c>
      <c r="J207" s="3" t="s">
        <v>72</v>
      </c>
      <c r="K207" s="3"/>
      <c r="L207" s="3"/>
      <c r="M207" s="3"/>
    </row>
    <row r="208">
      <c r="A208" s="10">
        <v>615.0</v>
      </c>
      <c r="B208" s="3" t="s">
        <v>1847</v>
      </c>
      <c r="C208" s="3" t="s">
        <v>1848</v>
      </c>
      <c r="D208" s="3" t="s">
        <v>1849</v>
      </c>
      <c r="E208" s="10">
        <v>5.70056000108E11</v>
      </c>
      <c r="F208" s="3" t="s">
        <v>1850</v>
      </c>
      <c r="G208" s="3" t="s">
        <v>62</v>
      </c>
      <c r="H208" s="3" t="s">
        <v>70</v>
      </c>
      <c r="I208" s="3" t="s">
        <v>71</v>
      </c>
      <c r="J208" s="3" t="s">
        <v>72</v>
      </c>
      <c r="K208" s="3"/>
      <c r="L208" s="3"/>
      <c r="M208" s="3"/>
    </row>
    <row r="209">
      <c r="A209" s="10">
        <v>616.0</v>
      </c>
      <c r="B209" s="3" t="s">
        <v>1851</v>
      </c>
      <c r="C209" s="3" t="s">
        <v>1852</v>
      </c>
      <c r="D209" s="3" t="s">
        <v>293</v>
      </c>
      <c r="E209" s="10">
        <v>5.70056000126E11</v>
      </c>
      <c r="F209" s="3" t="s">
        <v>1853</v>
      </c>
      <c r="G209" s="3" t="s">
        <v>1356</v>
      </c>
      <c r="H209" s="3" t="s">
        <v>70</v>
      </c>
      <c r="I209" s="3" t="s">
        <v>71</v>
      </c>
      <c r="J209" s="3" t="s">
        <v>72</v>
      </c>
      <c r="K209" s="3"/>
      <c r="L209" s="3"/>
      <c r="M209" s="3"/>
    </row>
    <row r="210">
      <c r="A210" s="10">
        <v>617.0</v>
      </c>
      <c r="B210" s="3" t="s">
        <v>1854</v>
      </c>
      <c r="C210" s="3" t="s">
        <v>424</v>
      </c>
      <c r="D210" s="3" t="s">
        <v>1477</v>
      </c>
      <c r="E210" s="10">
        <v>5.70056000146E11</v>
      </c>
      <c r="F210" s="3" t="s">
        <v>1855</v>
      </c>
      <c r="G210" s="3" t="s">
        <v>651</v>
      </c>
      <c r="H210" s="3" t="s">
        <v>70</v>
      </c>
      <c r="I210" s="3" t="s">
        <v>71</v>
      </c>
      <c r="J210" s="3" t="s">
        <v>72</v>
      </c>
      <c r="K210" s="3"/>
      <c r="L210" s="3"/>
      <c r="M210" s="3"/>
    </row>
    <row r="211">
      <c r="A211" s="10">
        <v>618.0</v>
      </c>
      <c r="B211" s="3" t="s">
        <v>1856</v>
      </c>
      <c r="C211" s="3" t="s">
        <v>1353</v>
      </c>
      <c r="D211" s="3" t="s">
        <v>1857</v>
      </c>
      <c r="E211" s="10">
        <v>5.7005600016E11</v>
      </c>
      <c r="F211" s="3" t="s">
        <v>1858</v>
      </c>
      <c r="G211" s="3" t="s">
        <v>12</v>
      </c>
      <c r="H211" s="3" t="s">
        <v>70</v>
      </c>
      <c r="I211" s="3" t="s">
        <v>71</v>
      </c>
      <c r="J211" s="3" t="s">
        <v>72</v>
      </c>
      <c r="K211" s="3"/>
      <c r="L211" s="3"/>
      <c r="M211" s="3"/>
    </row>
    <row r="212">
      <c r="A212" s="10">
        <v>619.0</v>
      </c>
      <c r="B212" s="3" t="s">
        <v>1859</v>
      </c>
      <c r="C212" s="3" t="s">
        <v>33</v>
      </c>
      <c r="D212" s="3" t="s">
        <v>1860</v>
      </c>
      <c r="E212" s="10">
        <v>5.70056000202E11</v>
      </c>
      <c r="F212" s="3" t="s">
        <v>1861</v>
      </c>
      <c r="G212" s="3" t="s">
        <v>12</v>
      </c>
      <c r="H212" s="3" t="s">
        <v>70</v>
      </c>
      <c r="I212" s="3" t="s">
        <v>71</v>
      </c>
      <c r="J212" s="3" t="s">
        <v>72</v>
      </c>
      <c r="K212" s="3"/>
      <c r="L212" s="3"/>
      <c r="M212" s="3"/>
    </row>
    <row r="213">
      <c r="A213" s="10">
        <v>620.0</v>
      </c>
      <c r="B213" s="3" t="s">
        <v>1862</v>
      </c>
      <c r="C213" s="3" t="s">
        <v>181</v>
      </c>
      <c r="D213" s="3" t="s">
        <v>1863</v>
      </c>
      <c r="E213" s="10">
        <v>5.70056000203E11</v>
      </c>
      <c r="F213" s="3" t="s">
        <v>1864</v>
      </c>
      <c r="G213" s="3" t="s">
        <v>12</v>
      </c>
      <c r="H213" s="3" t="s">
        <v>70</v>
      </c>
      <c r="I213" s="3" t="s">
        <v>71</v>
      </c>
      <c r="J213" s="3" t="s">
        <v>72</v>
      </c>
      <c r="K213" s="3"/>
      <c r="L213" s="3"/>
      <c r="M213" s="3"/>
    </row>
    <row r="214">
      <c r="A214" s="10">
        <v>621.0</v>
      </c>
      <c r="B214" s="3" t="s">
        <v>51</v>
      </c>
      <c r="C214" s="3" t="s">
        <v>356</v>
      </c>
      <c r="D214" s="3" t="s">
        <v>16</v>
      </c>
      <c r="E214" s="10">
        <v>5.70056000204E11</v>
      </c>
      <c r="F214" s="3" t="s">
        <v>1865</v>
      </c>
      <c r="G214" s="3" t="s">
        <v>62</v>
      </c>
      <c r="H214" s="3" t="s">
        <v>70</v>
      </c>
      <c r="I214" s="3" t="s">
        <v>71</v>
      </c>
      <c r="J214" s="3" t="s">
        <v>72</v>
      </c>
      <c r="K214" s="3"/>
      <c r="L214" s="3"/>
      <c r="M214" s="3"/>
    </row>
    <row r="215">
      <c r="A215" s="10">
        <v>622.0</v>
      </c>
      <c r="B215" s="3" t="s">
        <v>1866</v>
      </c>
      <c r="C215" s="3" t="s">
        <v>33</v>
      </c>
      <c r="D215" s="3" t="s">
        <v>130</v>
      </c>
      <c r="E215" s="10">
        <v>5.70056000205E11</v>
      </c>
      <c r="F215" s="3" t="s">
        <v>1867</v>
      </c>
      <c r="G215" s="3" t="s">
        <v>62</v>
      </c>
      <c r="H215" s="3" t="s">
        <v>70</v>
      </c>
      <c r="I215" s="3" t="s">
        <v>71</v>
      </c>
      <c r="J215" s="3" t="s">
        <v>72</v>
      </c>
      <c r="K215" s="3"/>
      <c r="L215" s="3"/>
      <c r="M215" s="3"/>
    </row>
    <row r="216">
      <c r="A216" s="10">
        <v>623.0</v>
      </c>
      <c r="B216" s="3" t="s">
        <v>1868</v>
      </c>
      <c r="C216" s="3" t="s">
        <v>981</v>
      </c>
      <c r="D216" s="3" t="s">
        <v>1869</v>
      </c>
      <c r="E216" s="10">
        <v>5.70056000207E11</v>
      </c>
      <c r="F216" s="3" t="s">
        <v>1870</v>
      </c>
      <c r="G216" s="3" t="s">
        <v>50</v>
      </c>
      <c r="H216" s="3" t="s">
        <v>70</v>
      </c>
      <c r="I216" s="3" t="s">
        <v>71</v>
      </c>
      <c r="J216" s="3" t="s">
        <v>72</v>
      </c>
      <c r="K216" s="3"/>
      <c r="L216" s="3"/>
      <c r="M216" s="3"/>
    </row>
    <row r="217">
      <c r="A217" s="10">
        <v>624.0</v>
      </c>
      <c r="B217" s="3" t="s">
        <v>1871</v>
      </c>
      <c r="C217" s="3" t="s">
        <v>1872</v>
      </c>
      <c r="D217" s="3" t="s">
        <v>1873</v>
      </c>
      <c r="E217" s="10">
        <v>5.70056000209E11</v>
      </c>
      <c r="F217" s="3" t="s">
        <v>1874</v>
      </c>
      <c r="G217" s="3" t="s">
        <v>12</v>
      </c>
      <c r="H217" s="3" t="s">
        <v>70</v>
      </c>
      <c r="I217" s="3" t="s">
        <v>71</v>
      </c>
      <c r="J217" s="3" t="s">
        <v>72</v>
      </c>
      <c r="K217" s="3"/>
      <c r="L217" s="3"/>
      <c r="M217" s="3"/>
    </row>
    <row r="218">
      <c r="A218" s="10">
        <v>625.0</v>
      </c>
      <c r="B218" s="3" t="s">
        <v>1875</v>
      </c>
      <c r="C218" s="3" t="s">
        <v>1876</v>
      </c>
      <c r="D218" s="3" t="s">
        <v>1877</v>
      </c>
      <c r="E218" s="10">
        <v>5.70056000211E11</v>
      </c>
      <c r="F218" s="3" t="s">
        <v>1878</v>
      </c>
      <c r="G218" s="3" t="s">
        <v>12</v>
      </c>
      <c r="H218" s="3" t="s">
        <v>70</v>
      </c>
      <c r="I218" s="3" t="s">
        <v>71</v>
      </c>
      <c r="J218" s="3" t="s">
        <v>72</v>
      </c>
      <c r="K218" s="3"/>
      <c r="L218" s="3"/>
      <c r="M218" s="3"/>
    </row>
    <row r="219">
      <c r="A219" s="10">
        <v>626.0</v>
      </c>
      <c r="B219" s="3" t="s">
        <v>1879</v>
      </c>
      <c r="C219" s="3" t="s">
        <v>1880</v>
      </c>
      <c r="D219" s="3" t="s">
        <v>1881</v>
      </c>
      <c r="E219" s="10">
        <v>5.70056000213E11</v>
      </c>
      <c r="F219" s="3" t="s">
        <v>1882</v>
      </c>
      <c r="G219" s="3" t="s">
        <v>50</v>
      </c>
      <c r="H219" s="3" t="s">
        <v>1883</v>
      </c>
      <c r="I219" s="3" t="s">
        <v>70</v>
      </c>
      <c r="J219" s="3" t="s">
        <v>71</v>
      </c>
      <c r="K219" s="3" t="s">
        <v>72</v>
      </c>
      <c r="L219" s="3"/>
      <c r="M219" s="3"/>
    </row>
    <row r="220">
      <c r="A220" s="10">
        <v>627.0</v>
      </c>
      <c r="B220" s="3" t="s">
        <v>1884</v>
      </c>
      <c r="C220" s="3" t="s">
        <v>1885</v>
      </c>
      <c r="D220" s="3" t="s">
        <v>1886</v>
      </c>
      <c r="E220" s="10">
        <v>5.70056000214E11</v>
      </c>
      <c r="F220" s="3" t="s">
        <v>1887</v>
      </c>
      <c r="G220" s="3" t="s">
        <v>62</v>
      </c>
      <c r="H220" s="3" t="s">
        <v>1888</v>
      </c>
      <c r="I220" s="3" t="s">
        <v>70</v>
      </c>
      <c r="J220" s="3" t="s">
        <v>71</v>
      </c>
      <c r="K220" s="3" t="s">
        <v>72</v>
      </c>
      <c r="L220" s="3"/>
      <c r="M220" s="3"/>
    </row>
    <row r="221">
      <c r="A221" s="10">
        <v>628.0</v>
      </c>
      <c r="B221" s="3" t="s">
        <v>1889</v>
      </c>
      <c r="C221" s="3" t="s">
        <v>1024</v>
      </c>
      <c r="D221" s="3" t="s">
        <v>1014</v>
      </c>
      <c r="E221" s="10">
        <v>5.70056000217E11</v>
      </c>
      <c r="F221" s="3" t="s">
        <v>1890</v>
      </c>
      <c r="G221" s="3" t="s">
        <v>62</v>
      </c>
      <c r="H221" s="3" t="s">
        <v>70</v>
      </c>
      <c r="I221" s="3" t="s">
        <v>71</v>
      </c>
      <c r="J221" s="3" t="s">
        <v>72</v>
      </c>
      <c r="K221" s="3"/>
      <c r="L221" s="3"/>
      <c r="M221" s="3"/>
    </row>
    <row r="222">
      <c r="A222" s="10">
        <v>629.0</v>
      </c>
      <c r="B222" s="3" t="s">
        <v>1891</v>
      </c>
      <c r="C222" s="3" t="s">
        <v>1892</v>
      </c>
      <c r="D222" s="3" t="s">
        <v>1893</v>
      </c>
      <c r="E222" s="10">
        <v>5.70056000218E11</v>
      </c>
      <c r="F222" s="3" t="s">
        <v>1894</v>
      </c>
      <c r="G222" s="3" t="s">
        <v>62</v>
      </c>
      <c r="H222" s="3" t="s">
        <v>1895</v>
      </c>
      <c r="I222" s="3" t="s">
        <v>70</v>
      </c>
      <c r="J222" s="3" t="s">
        <v>71</v>
      </c>
      <c r="K222" s="3" t="s">
        <v>72</v>
      </c>
      <c r="L222" s="3"/>
      <c r="M222" s="3"/>
    </row>
    <row r="223">
      <c r="A223" s="10">
        <v>630.0</v>
      </c>
      <c r="B223" s="3" t="s">
        <v>1896</v>
      </c>
      <c r="C223" s="3" t="s">
        <v>1897</v>
      </c>
      <c r="D223" s="3" t="s">
        <v>1898</v>
      </c>
      <c r="E223" s="10">
        <v>5.70056000221E11</v>
      </c>
      <c r="F223" s="3" t="s">
        <v>1899</v>
      </c>
      <c r="G223" s="3" t="s">
        <v>197</v>
      </c>
      <c r="H223" s="3" t="s">
        <v>70</v>
      </c>
      <c r="I223" s="3" t="s">
        <v>1900</v>
      </c>
      <c r="J223" s="3" t="s">
        <v>71</v>
      </c>
      <c r="K223" s="3" t="s">
        <v>72</v>
      </c>
      <c r="L223" s="3"/>
      <c r="M223" s="3"/>
    </row>
    <row r="224">
      <c r="A224" s="10">
        <v>631.0</v>
      </c>
      <c r="B224" s="3" t="s">
        <v>1901</v>
      </c>
      <c r="C224" s="3" t="s">
        <v>1902</v>
      </c>
      <c r="D224" s="3" t="s">
        <v>1903</v>
      </c>
      <c r="E224" s="10">
        <v>5.70056000229E11</v>
      </c>
      <c r="F224" s="3" t="s">
        <v>1904</v>
      </c>
      <c r="G224" s="3" t="s">
        <v>37</v>
      </c>
      <c r="H224" s="3" t="s">
        <v>70</v>
      </c>
      <c r="I224" s="3" t="s">
        <v>71</v>
      </c>
      <c r="J224" s="3" t="s">
        <v>72</v>
      </c>
      <c r="K224" s="3"/>
      <c r="L224" s="3"/>
      <c r="M224" s="3"/>
    </row>
    <row r="225">
      <c r="A225" s="10">
        <v>632.0</v>
      </c>
      <c r="B225" s="3" t="s">
        <v>1905</v>
      </c>
      <c r="C225" s="3" t="s">
        <v>1906</v>
      </c>
      <c r="D225" s="3" t="s">
        <v>1907</v>
      </c>
      <c r="E225" s="10">
        <v>5.7005600023E11</v>
      </c>
      <c r="F225" s="3" t="s">
        <v>1908</v>
      </c>
      <c r="G225" s="3" t="s">
        <v>197</v>
      </c>
      <c r="H225" s="3" t="s">
        <v>70</v>
      </c>
      <c r="I225" s="3" t="s">
        <v>71</v>
      </c>
      <c r="J225" s="3" t="s">
        <v>72</v>
      </c>
      <c r="K225" s="3"/>
      <c r="L225" s="3"/>
      <c r="M225" s="3"/>
    </row>
    <row r="226">
      <c r="A226" s="10">
        <v>633.0</v>
      </c>
      <c r="B226" s="3" t="s">
        <v>1909</v>
      </c>
      <c r="C226" s="3" t="s">
        <v>1910</v>
      </c>
      <c r="D226" s="3" t="s">
        <v>1911</v>
      </c>
      <c r="E226" s="10">
        <v>5.70056000232E11</v>
      </c>
      <c r="F226" s="3" t="s">
        <v>1912</v>
      </c>
      <c r="G226" s="3" t="s">
        <v>12</v>
      </c>
      <c r="H226" s="3" t="s">
        <v>1895</v>
      </c>
      <c r="I226" s="3" t="s">
        <v>70</v>
      </c>
      <c r="J226" s="3" t="s">
        <v>71</v>
      </c>
      <c r="K226" s="3" t="s">
        <v>72</v>
      </c>
      <c r="L226" s="3"/>
      <c r="M226" s="3"/>
    </row>
    <row r="227">
      <c r="A227" s="10">
        <v>634.0</v>
      </c>
      <c r="B227" s="3" t="s">
        <v>1913</v>
      </c>
      <c r="C227" s="3" t="s">
        <v>1914</v>
      </c>
      <c r="D227" s="3" t="s">
        <v>1403</v>
      </c>
      <c r="E227" s="10">
        <v>5.70056000233E11</v>
      </c>
      <c r="F227" s="3" t="s">
        <v>1915</v>
      </c>
      <c r="G227" s="3" t="s">
        <v>197</v>
      </c>
      <c r="H227" s="3" t="s">
        <v>1895</v>
      </c>
      <c r="I227" s="3" t="s">
        <v>70</v>
      </c>
      <c r="J227" s="3" t="s">
        <v>71</v>
      </c>
      <c r="K227" s="3" t="s">
        <v>72</v>
      </c>
      <c r="L227" s="3"/>
      <c r="M227" s="3"/>
    </row>
    <row r="228">
      <c r="A228" s="10">
        <v>635.0</v>
      </c>
      <c r="B228" s="3" t="s">
        <v>1916</v>
      </c>
      <c r="C228" s="3" t="s">
        <v>1917</v>
      </c>
      <c r="D228" s="3" t="s">
        <v>1918</v>
      </c>
      <c r="E228" s="10">
        <v>5.70056000234E11</v>
      </c>
      <c r="F228" s="3" t="s">
        <v>1919</v>
      </c>
      <c r="G228" s="3" t="s">
        <v>197</v>
      </c>
      <c r="H228" s="3" t="s">
        <v>1920</v>
      </c>
      <c r="I228" s="3" t="s">
        <v>1900</v>
      </c>
      <c r="J228" s="3" t="s">
        <v>71</v>
      </c>
      <c r="K228" s="3" t="s">
        <v>72</v>
      </c>
      <c r="L228" s="3"/>
      <c r="M228" s="3"/>
    </row>
    <row r="229">
      <c r="A229" s="10">
        <v>636.0</v>
      </c>
      <c r="B229" s="3" t="s">
        <v>1921</v>
      </c>
      <c r="C229" s="3" t="s">
        <v>1922</v>
      </c>
      <c r="D229" s="3" t="s">
        <v>1062</v>
      </c>
      <c r="E229" s="10">
        <v>5.70056000236E11</v>
      </c>
      <c r="F229" s="3" t="s">
        <v>1923</v>
      </c>
      <c r="G229" s="3" t="s">
        <v>197</v>
      </c>
      <c r="H229" s="3" t="s">
        <v>1924</v>
      </c>
      <c r="I229" s="3" t="s">
        <v>70</v>
      </c>
      <c r="J229" s="3" t="s">
        <v>71</v>
      </c>
      <c r="K229" s="3" t="s">
        <v>72</v>
      </c>
      <c r="L229" s="3"/>
      <c r="M229" s="3"/>
    </row>
    <row r="230">
      <c r="A230" s="10">
        <v>637.0</v>
      </c>
      <c r="B230" s="3" t="s">
        <v>1925</v>
      </c>
      <c r="C230" s="3" t="s">
        <v>133</v>
      </c>
      <c r="D230" s="3" t="s">
        <v>1926</v>
      </c>
      <c r="E230" s="10">
        <v>5.70056000237E11</v>
      </c>
      <c r="F230" s="3" t="s">
        <v>1927</v>
      </c>
      <c r="G230" s="3" t="s">
        <v>197</v>
      </c>
      <c r="H230" s="3" t="s">
        <v>70</v>
      </c>
      <c r="I230" s="3" t="s">
        <v>71</v>
      </c>
      <c r="J230" s="3" t="s">
        <v>72</v>
      </c>
      <c r="K230" s="3"/>
      <c r="L230" s="3"/>
      <c r="M230" s="3"/>
    </row>
    <row r="231">
      <c r="A231" s="10">
        <v>638.0</v>
      </c>
      <c r="B231" s="3" t="s">
        <v>1928</v>
      </c>
      <c r="C231" s="3" t="s">
        <v>1929</v>
      </c>
      <c r="D231" s="3" t="s">
        <v>1930</v>
      </c>
      <c r="E231" s="10">
        <v>5.70056000241E11</v>
      </c>
      <c r="F231" s="3" t="s">
        <v>1931</v>
      </c>
      <c r="G231" s="3" t="s">
        <v>62</v>
      </c>
      <c r="H231" s="3" t="s">
        <v>70</v>
      </c>
      <c r="I231" s="3" t="s">
        <v>71</v>
      </c>
      <c r="J231" s="3" t="s">
        <v>72</v>
      </c>
      <c r="K231" s="3"/>
      <c r="L231" s="3"/>
      <c r="M231" s="3"/>
    </row>
    <row r="232">
      <c r="A232" s="10">
        <v>639.0</v>
      </c>
      <c r="B232" s="3" t="s">
        <v>1932</v>
      </c>
      <c r="C232" s="3" t="s">
        <v>1933</v>
      </c>
      <c r="D232" s="3" t="s">
        <v>1293</v>
      </c>
      <c r="E232" s="10">
        <v>5.70056000242E11</v>
      </c>
      <c r="F232" s="3" t="s">
        <v>1934</v>
      </c>
      <c r="G232" s="3" t="s">
        <v>197</v>
      </c>
      <c r="H232" s="3" t="s">
        <v>70</v>
      </c>
      <c r="I232" s="3" t="s">
        <v>1900</v>
      </c>
      <c r="J232" s="3" t="s">
        <v>71</v>
      </c>
      <c r="K232" s="3" t="s">
        <v>72</v>
      </c>
      <c r="L232" s="3"/>
      <c r="M232" s="3"/>
    </row>
    <row r="233">
      <c r="A233" s="10">
        <v>640.0</v>
      </c>
      <c r="B233" s="3" t="s">
        <v>1935</v>
      </c>
      <c r="C233" s="3" t="s">
        <v>1936</v>
      </c>
      <c r="D233" s="3" t="s">
        <v>470</v>
      </c>
      <c r="E233" s="10">
        <v>5.70056000248E11</v>
      </c>
      <c r="F233" s="3" t="s">
        <v>1937</v>
      </c>
      <c r="G233" s="3" t="s">
        <v>50</v>
      </c>
      <c r="H233" s="3" t="s">
        <v>70</v>
      </c>
      <c r="I233" s="3" t="s">
        <v>71</v>
      </c>
      <c r="J233" s="3" t="s">
        <v>72</v>
      </c>
      <c r="K233" s="3"/>
      <c r="L233" s="3"/>
      <c r="M233" s="3"/>
    </row>
    <row r="234">
      <c r="A234" s="10">
        <v>641.0</v>
      </c>
      <c r="B234" s="3" t="s">
        <v>1938</v>
      </c>
      <c r="C234" s="3" t="s">
        <v>1939</v>
      </c>
      <c r="D234" s="3" t="s">
        <v>1940</v>
      </c>
      <c r="E234" s="10">
        <v>5.70056000251E11</v>
      </c>
      <c r="F234" s="3" t="s">
        <v>1941</v>
      </c>
      <c r="G234" s="3" t="s">
        <v>50</v>
      </c>
      <c r="H234" s="3" t="s">
        <v>70</v>
      </c>
      <c r="I234" s="3" t="s">
        <v>71</v>
      </c>
      <c r="J234" s="3" t="s">
        <v>72</v>
      </c>
      <c r="K234" s="3"/>
      <c r="L234" s="3"/>
      <c r="M234" s="3"/>
    </row>
    <row r="235">
      <c r="A235" s="10">
        <v>642.0</v>
      </c>
      <c r="B235" s="3" t="s">
        <v>1942</v>
      </c>
      <c r="C235" s="3" t="s">
        <v>1943</v>
      </c>
      <c r="D235" s="3" t="s">
        <v>1898</v>
      </c>
      <c r="E235" s="10">
        <v>5.70056000253E11</v>
      </c>
      <c r="F235" s="3" t="s">
        <v>1944</v>
      </c>
      <c r="G235" s="3" t="s">
        <v>62</v>
      </c>
      <c r="H235" s="3" t="s">
        <v>1945</v>
      </c>
      <c r="I235" s="3" t="s">
        <v>70</v>
      </c>
      <c r="J235" s="3" t="s">
        <v>71</v>
      </c>
      <c r="K235" s="3" t="s">
        <v>72</v>
      </c>
      <c r="L235" s="3"/>
      <c r="M235" s="3"/>
    </row>
    <row r="236">
      <c r="A236" s="10">
        <v>643.0</v>
      </c>
      <c r="B236" s="3" t="s">
        <v>1946</v>
      </c>
      <c r="C236" s="3" t="s">
        <v>1947</v>
      </c>
      <c r="D236" s="3" t="s">
        <v>1948</v>
      </c>
      <c r="E236" s="10">
        <v>5.70056000254E11</v>
      </c>
      <c r="F236" s="3" t="s">
        <v>1949</v>
      </c>
      <c r="G236" s="3" t="s">
        <v>12</v>
      </c>
      <c r="H236" s="3" t="s">
        <v>1950</v>
      </c>
      <c r="I236" s="3" t="s">
        <v>70</v>
      </c>
      <c r="J236" s="3" t="s">
        <v>71</v>
      </c>
      <c r="K236" s="3" t="s">
        <v>72</v>
      </c>
      <c r="L236" s="3"/>
      <c r="M236" s="3"/>
    </row>
    <row r="237">
      <c r="A237" s="10">
        <v>644.0</v>
      </c>
      <c r="B237" s="3" t="s">
        <v>1951</v>
      </c>
      <c r="C237" s="3" t="s">
        <v>1952</v>
      </c>
      <c r="D237" s="3" t="s">
        <v>1869</v>
      </c>
      <c r="E237" s="10">
        <v>5.7005600026E11</v>
      </c>
      <c r="F237" s="3" t="s">
        <v>1953</v>
      </c>
      <c r="G237" s="3" t="s">
        <v>197</v>
      </c>
      <c r="H237" s="3" t="s">
        <v>1954</v>
      </c>
      <c r="I237" s="3" t="s">
        <v>70</v>
      </c>
      <c r="J237" s="3" t="s">
        <v>71</v>
      </c>
      <c r="K237" s="3" t="s">
        <v>72</v>
      </c>
      <c r="L237" s="3"/>
      <c r="M237" s="3"/>
    </row>
    <row r="238">
      <c r="A238" s="10">
        <v>645.0</v>
      </c>
      <c r="B238" s="3" t="s">
        <v>1955</v>
      </c>
      <c r="C238" s="3" t="s">
        <v>1956</v>
      </c>
      <c r="D238" s="3" t="s">
        <v>1957</v>
      </c>
      <c r="E238" s="10">
        <v>5.70056000261E11</v>
      </c>
      <c r="F238" s="3" t="s">
        <v>1958</v>
      </c>
      <c r="G238" s="3" t="s">
        <v>37</v>
      </c>
      <c r="H238" s="3" t="s">
        <v>1959</v>
      </c>
      <c r="I238" s="3" t="s">
        <v>70</v>
      </c>
      <c r="J238" s="3" t="s">
        <v>71</v>
      </c>
      <c r="K238" s="3" t="s">
        <v>72</v>
      </c>
      <c r="L238" s="3"/>
      <c r="M238" s="3"/>
    </row>
    <row r="239">
      <c r="A239" s="10">
        <v>646.0</v>
      </c>
      <c r="B239" s="3" t="s">
        <v>1960</v>
      </c>
      <c r="C239" s="3" t="s">
        <v>1961</v>
      </c>
      <c r="D239" s="3" t="s">
        <v>1962</v>
      </c>
      <c r="E239" s="10">
        <v>5.70056000262E11</v>
      </c>
      <c r="F239" s="3" t="s">
        <v>1639</v>
      </c>
      <c r="G239" s="3" t="s">
        <v>1963</v>
      </c>
      <c r="H239" s="12" t="s">
        <v>1964</v>
      </c>
      <c r="I239" s="3"/>
      <c r="J239" s="3"/>
      <c r="K239" s="3"/>
      <c r="L239" s="3"/>
      <c r="M239" s="3"/>
    </row>
    <row r="240">
      <c r="A240" s="10">
        <v>647.0</v>
      </c>
      <c r="B240" s="3" t="s">
        <v>1965</v>
      </c>
      <c r="C240" s="3" t="s">
        <v>9</v>
      </c>
      <c r="D240" s="3" t="s">
        <v>1966</v>
      </c>
      <c r="E240" s="10">
        <v>5.70056000264E11</v>
      </c>
      <c r="F240" s="3" t="s">
        <v>1967</v>
      </c>
      <c r="G240" s="3" t="s">
        <v>1814</v>
      </c>
      <c r="H240" s="12" t="s">
        <v>1968</v>
      </c>
      <c r="I240" s="3"/>
      <c r="J240" s="3"/>
      <c r="K240" s="3"/>
    </row>
    <row r="241">
      <c r="A241" s="10">
        <v>648.0</v>
      </c>
      <c r="B241" s="3" t="s">
        <v>1969</v>
      </c>
      <c r="C241" s="3" t="s">
        <v>513</v>
      </c>
      <c r="D241" s="3" t="s">
        <v>504</v>
      </c>
      <c r="E241" s="10">
        <v>5.70056000265E11</v>
      </c>
      <c r="F241" s="3" t="s">
        <v>1970</v>
      </c>
      <c r="G241" s="3" t="s">
        <v>50</v>
      </c>
      <c r="H241" s="12" t="s">
        <v>1971</v>
      </c>
      <c r="I241" s="3"/>
      <c r="J241" s="3"/>
      <c r="K241" s="3"/>
    </row>
    <row r="242">
      <c r="A242" s="10">
        <v>649.0</v>
      </c>
      <c r="B242" s="3" t="s">
        <v>1972</v>
      </c>
      <c r="C242" s="3" t="s">
        <v>1973</v>
      </c>
      <c r="D242" s="3" t="s">
        <v>1974</v>
      </c>
      <c r="E242" s="10">
        <v>5.70056000266E11</v>
      </c>
      <c r="F242" s="3" t="s">
        <v>1975</v>
      </c>
      <c r="G242" s="3" t="s">
        <v>12</v>
      </c>
      <c r="H242" s="12" t="s">
        <v>13</v>
      </c>
      <c r="I242" s="3"/>
      <c r="J242" s="3"/>
      <c r="K242" s="3"/>
    </row>
    <row r="243">
      <c r="A243" s="10">
        <v>650.0</v>
      </c>
      <c r="B243" s="3" t="s">
        <v>1976</v>
      </c>
      <c r="C243" s="3" t="s">
        <v>424</v>
      </c>
      <c r="D243" s="3" t="s">
        <v>1014</v>
      </c>
      <c r="E243" s="10">
        <v>5.70056000267E11</v>
      </c>
      <c r="F243" s="3" t="s">
        <v>1977</v>
      </c>
      <c r="G243" s="3" t="s">
        <v>12</v>
      </c>
      <c r="H243" s="12" t="s">
        <v>13</v>
      </c>
      <c r="I243" s="3"/>
      <c r="J243" s="3"/>
      <c r="K243" s="3"/>
    </row>
    <row r="244">
      <c r="A244" s="10">
        <v>651.0</v>
      </c>
      <c r="B244" s="3" t="s">
        <v>1978</v>
      </c>
      <c r="C244" s="3" t="s">
        <v>1979</v>
      </c>
      <c r="D244" s="3" t="s">
        <v>1980</v>
      </c>
      <c r="E244" s="10">
        <v>5.70056000268E11</v>
      </c>
      <c r="F244" s="3" t="s">
        <v>1981</v>
      </c>
      <c r="G244" s="3" t="s">
        <v>12</v>
      </c>
      <c r="H244" s="12" t="s">
        <v>1968</v>
      </c>
      <c r="I244" s="3"/>
      <c r="J244" s="3"/>
      <c r="K244" s="3"/>
    </row>
    <row r="245">
      <c r="A245" s="10">
        <v>652.0</v>
      </c>
      <c r="B245" s="3" t="s">
        <v>1982</v>
      </c>
      <c r="C245" s="3" t="s">
        <v>154</v>
      </c>
      <c r="D245" s="3" t="s">
        <v>195</v>
      </c>
      <c r="E245" s="10">
        <v>5.7005600027E11</v>
      </c>
      <c r="F245" s="3" t="s">
        <v>1983</v>
      </c>
      <c r="G245" s="3" t="s">
        <v>50</v>
      </c>
      <c r="H245" s="12" t="s">
        <v>1984</v>
      </c>
      <c r="I245" s="3"/>
      <c r="J245" s="3"/>
      <c r="K245" s="3"/>
    </row>
    <row r="246">
      <c r="A246" s="10">
        <v>653.0</v>
      </c>
      <c r="B246" s="3" t="s">
        <v>1985</v>
      </c>
      <c r="C246" s="3" t="s">
        <v>1986</v>
      </c>
      <c r="D246" s="3" t="s">
        <v>1987</v>
      </c>
      <c r="E246" s="10">
        <v>5.70056000272E11</v>
      </c>
      <c r="F246" s="3" t="s">
        <v>1988</v>
      </c>
      <c r="G246" s="3" t="s">
        <v>27</v>
      </c>
      <c r="H246" s="12" t="s">
        <v>1989</v>
      </c>
      <c r="I246" s="3"/>
      <c r="J246" s="3"/>
      <c r="K246" s="3"/>
    </row>
    <row r="247">
      <c r="A247" s="10">
        <v>654.0</v>
      </c>
      <c r="B247" s="3" t="s">
        <v>1990</v>
      </c>
      <c r="C247" s="3" t="s">
        <v>1991</v>
      </c>
      <c r="D247" s="3" t="s">
        <v>1992</v>
      </c>
      <c r="E247" s="10">
        <v>5.70056000273E11</v>
      </c>
      <c r="F247" s="3" t="s">
        <v>1993</v>
      </c>
      <c r="G247" s="3" t="s">
        <v>12</v>
      </c>
      <c r="H247" s="12" t="s">
        <v>1994</v>
      </c>
      <c r="I247" s="3"/>
      <c r="J247" s="3"/>
      <c r="K247" s="3"/>
    </row>
    <row r="248">
      <c r="A248" s="10">
        <v>655.0</v>
      </c>
      <c r="B248" s="3" t="s">
        <v>51</v>
      </c>
      <c r="C248" s="3" t="s">
        <v>1304</v>
      </c>
      <c r="D248" s="3" t="s">
        <v>1995</v>
      </c>
      <c r="E248" s="10">
        <v>5.70056000277E11</v>
      </c>
      <c r="F248" s="3" t="s">
        <v>1996</v>
      </c>
      <c r="G248" s="3" t="s">
        <v>12</v>
      </c>
      <c r="H248" s="12" t="s">
        <v>13</v>
      </c>
      <c r="I248" s="3"/>
      <c r="J248" s="3"/>
      <c r="K248" s="3"/>
    </row>
    <row r="249">
      <c r="A249" s="10">
        <v>656.0</v>
      </c>
      <c r="B249" s="3" t="s">
        <v>1928</v>
      </c>
      <c r="C249" s="3" t="s">
        <v>1997</v>
      </c>
      <c r="D249" s="3" t="s">
        <v>1998</v>
      </c>
      <c r="E249" s="10">
        <v>5.70056000279E11</v>
      </c>
      <c r="F249" s="3" t="s">
        <v>1999</v>
      </c>
      <c r="G249" s="3" t="s">
        <v>50</v>
      </c>
      <c r="H249" s="12" t="s">
        <v>2000</v>
      </c>
      <c r="I249" s="3"/>
      <c r="J249" s="3"/>
      <c r="K249" s="3"/>
    </row>
    <row r="250">
      <c r="A250" s="10">
        <v>657.0</v>
      </c>
      <c r="B250" s="3" t="s">
        <v>2001</v>
      </c>
      <c r="C250" s="3" t="s">
        <v>1279</v>
      </c>
      <c r="D250" s="3" t="s">
        <v>2002</v>
      </c>
      <c r="E250" s="10">
        <v>5.7005600028E11</v>
      </c>
      <c r="F250" s="3" t="s">
        <v>2003</v>
      </c>
      <c r="G250" s="3" t="s">
        <v>37</v>
      </c>
      <c r="H250" s="12" t="s">
        <v>1984</v>
      </c>
      <c r="I250" s="3"/>
      <c r="J250" s="3"/>
      <c r="K250" s="3"/>
    </row>
    <row r="251">
      <c r="A251" s="10">
        <v>658.0</v>
      </c>
      <c r="B251" s="3" t="s">
        <v>2004</v>
      </c>
      <c r="C251" s="3" t="s">
        <v>2005</v>
      </c>
      <c r="D251" s="3" t="s">
        <v>146</v>
      </c>
      <c r="E251" s="10">
        <v>5.70056000282E11</v>
      </c>
      <c r="F251" s="3" t="s">
        <v>2006</v>
      </c>
      <c r="G251" s="3" t="s">
        <v>12</v>
      </c>
      <c r="H251" s="12" t="s">
        <v>13</v>
      </c>
      <c r="I251" s="3"/>
      <c r="J251" s="3"/>
      <c r="K251" s="3"/>
    </row>
    <row r="252">
      <c r="A252" s="10">
        <v>659.0</v>
      </c>
      <c r="B252" s="3" t="s">
        <v>1170</v>
      </c>
      <c r="C252" s="3" t="s">
        <v>92</v>
      </c>
      <c r="D252" s="3" t="s">
        <v>2007</v>
      </c>
      <c r="E252" s="10">
        <v>5.70056000283E11</v>
      </c>
      <c r="F252" s="3" t="s">
        <v>2008</v>
      </c>
      <c r="G252" s="3" t="s">
        <v>50</v>
      </c>
      <c r="H252" s="12" t="s">
        <v>13</v>
      </c>
      <c r="I252" s="3"/>
      <c r="J252" s="3"/>
      <c r="K252" s="3"/>
    </row>
    <row r="253">
      <c r="A253" s="10">
        <v>660.0</v>
      </c>
      <c r="B253" s="3" t="s">
        <v>201</v>
      </c>
      <c r="C253" s="3" t="s">
        <v>1087</v>
      </c>
      <c r="D253" s="3" t="s">
        <v>362</v>
      </c>
      <c r="E253" s="10">
        <v>5.70056000285E11</v>
      </c>
      <c r="F253" s="3" t="s">
        <v>900</v>
      </c>
      <c r="G253" s="3" t="s">
        <v>12</v>
      </c>
      <c r="H253" s="12" t="s">
        <v>13</v>
      </c>
      <c r="I253" s="3"/>
      <c r="J253" s="3"/>
      <c r="K253" s="3"/>
    </row>
    <row r="254">
      <c r="A254" s="10">
        <v>661.0</v>
      </c>
      <c r="B254" s="3" t="s">
        <v>2009</v>
      </c>
      <c r="C254" s="3" t="s">
        <v>471</v>
      </c>
      <c r="D254" s="3" t="s">
        <v>2010</v>
      </c>
      <c r="E254" s="10">
        <v>5.70056000286E11</v>
      </c>
      <c r="F254" s="3" t="s">
        <v>2011</v>
      </c>
      <c r="G254" s="3" t="s">
        <v>50</v>
      </c>
      <c r="H254" s="12" t="s">
        <v>1964</v>
      </c>
      <c r="I254" s="3"/>
      <c r="J254" s="3"/>
      <c r="K254" s="3"/>
    </row>
    <row r="255">
      <c r="A255" s="10">
        <v>662.0</v>
      </c>
      <c r="B255" s="3" t="s">
        <v>2012</v>
      </c>
      <c r="C255" s="3" t="s">
        <v>471</v>
      </c>
      <c r="D255" s="3" t="s">
        <v>2010</v>
      </c>
      <c r="E255" s="10">
        <v>5.70056000287E11</v>
      </c>
      <c r="F255" s="3" t="s">
        <v>2013</v>
      </c>
      <c r="G255" s="3" t="s">
        <v>12</v>
      </c>
      <c r="H255" s="12" t="s">
        <v>1964</v>
      </c>
      <c r="I255" s="3"/>
      <c r="J255" s="3"/>
      <c r="K255" s="3"/>
    </row>
    <row r="256">
      <c r="A256" s="10">
        <v>663.0</v>
      </c>
      <c r="B256" s="3" t="s">
        <v>2014</v>
      </c>
      <c r="C256" s="3" t="s">
        <v>201</v>
      </c>
      <c r="D256" s="3" t="s">
        <v>466</v>
      </c>
      <c r="E256" s="10">
        <v>5.70056000289E11</v>
      </c>
      <c r="F256" s="3" t="s">
        <v>2015</v>
      </c>
      <c r="G256" s="3" t="s">
        <v>50</v>
      </c>
      <c r="H256" s="12" t="s">
        <v>1964</v>
      </c>
      <c r="I256" s="3"/>
      <c r="J256" s="3"/>
      <c r="K256" s="3"/>
    </row>
    <row r="257">
      <c r="A257" s="10">
        <v>664.0</v>
      </c>
      <c r="B257" s="3" t="s">
        <v>2016</v>
      </c>
      <c r="C257" s="3" t="s">
        <v>441</v>
      </c>
      <c r="D257" s="3" t="s">
        <v>2017</v>
      </c>
      <c r="E257" s="10">
        <v>5.70056000295E11</v>
      </c>
      <c r="F257" s="3" t="s">
        <v>2018</v>
      </c>
      <c r="G257" s="3" t="s">
        <v>1963</v>
      </c>
      <c r="H257" s="12" t="s">
        <v>1984</v>
      </c>
      <c r="I257" s="3"/>
      <c r="J257" s="3"/>
      <c r="K257" s="3"/>
    </row>
    <row r="258">
      <c r="A258" s="10">
        <v>665.0</v>
      </c>
      <c r="B258" s="3" t="s">
        <v>173</v>
      </c>
      <c r="C258" s="3" t="s">
        <v>2019</v>
      </c>
      <c r="D258" s="3" t="s">
        <v>504</v>
      </c>
      <c r="E258" s="10">
        <v>5.70056000298E11</v>
      </c>
      <c r="F258" s="3" t="s">
        <v>2020</v>
      </c>
      <c r="G258" s="3" t="s">
        <v>197</v>
      </c>
      <c r="H258" s="12" t="s">
        <v>1964</v>
      </c>
      <c r="I258" s="3"/>
      <c r="J258" s="3"/>
      <c r="K258" s="3"/>
    </row>
    <row r="259">
      <c r="A259" s="10">
        <v>666.0</v>
      </c>
      <c r="B259" s="3" t="s">
        <v>2021</v>
      </c>
      <c r="C259" s="3" t="s">
        <v>2022</v>
      </c>
      <c r="D259" s="3" t="s">
        <v>2023</v>
      </c>
      <c r="E259" s="10">
        <v>5.70056000299E11</v>
      </c>
      <c r="F259" s="3" t="s">
        <v>2024</v>
      </c>
      <c r="G259" s="3" t="s">
        <v>62</v>
      </c>
      <c r="H259" s="12" t="s">
        <v>2025</v>
      </c>
      <c r="I259" s="3"/>
      <c r="J259" s="3"/>
      <c r="K259" s="3"/>
    </row>
    <row r="260">
      <c r="A260" s="10">
        <v>667.0</v>
      </c>
      <c r="B260" s="3" t="s">
        <v>2026</v>
      </c>
      <c r="C260" s="3" t="s">
        <v>2027</v>
      </c>
      <c r="D260" s="3" t="s">
        <v>2028</v>
      </c>
      <c r="E260" s="10">
        <v>5.700560003E11</v>
      </c>
      <c r="F260" s="3" t="s">
        <v>2029</v>
      </c>
      <c r="G260" s="3" t="s">
        <v>50</v>
      </c>
      <c r="H260" s="12" t="s">
        <v>2030</v>
      </c>
      <c r="I260" s="3"/>
      <c r="J260" s="3"/>
      <c r="K260" s="3"/>
    </row>
    <row r="261">
      <c r="A261" s="10">
        <v>668.0</v>
      </c>
      <c r="B261" s="3" t="s">
        <v>158</v>
      </c>
      <c r="C261" s="3" t="s">
        <v>1131</v>
      </c>
      <c r="D261" s="3" t="s">
        <v>1014</v>
      </c>
      <c r="E261" s="10">
        <v>5.70056000301E11</v>
      </c>
      <c r="F261" s="3" t="s">
        <v>2031</v>
      </c>
      <c r="G261" s="3" t="s">
        <v>50</v>
      </c>
      <c r="H261" s="12" t="s">
        <v>1964</v>
      </c>
      <c r="I261" s="3"/>
      <c r="J261" s="3"/>
      <c r="K261" s="3"/>
    </row>
    <row r="262">
      <c r="A262" s="10">
        <v>669.0</v>
      </c>
      <c r="B262" s="3" t="s">
        <v>2032</v>
      </c>
      <c r="C262" s="3" t="s">
        <v>521</v>
      </c>
      <c r="D262" s="3" t="s">
        <v>2033</v>
      </c>
      <c r="E262" s="10">
        <v>5.70056000302E11</v>
      </c>
      <c r="F262" s="3" t="s">
        <v>2034</v>
      </c>
      <c r="G262" s="3" t="s">
        <v>50</v>
      </c>
      <c r="H262" s="12" t="s">
        <v>2030</v>
      </c>
      <c r="I262" s="3"/>
      <c r="J262" s="3"/>
      <c r="K262" s="3"/>
    </row>
    <row r="263">
      <c r="A263" s="10">
        <v>670.0</v>
      </c>
      <c r="B263" s="3" t="s">
        <v>2035</v>
      </c>
      <c r="C263" s="3" t="s">
        <v>356</v>
      </c>
      <c r="D263" s="3" t="s">
        <v>152</v>
      </c>
      <c r="E263" s="10">
        <v>5.70056000304E11</v>
      </c>
      <c r="F263" s="3" t="s">
        <v>1967</v>
      </c>
      <c r="G263" s="3" t="s">
        <v>12</v>
      </c>
      <c r="H263" s="12" t="s">
        <v>2036</v>
      </c>
      <c r="I263" s="3"/>
      <c r="J263" s="3"/>
      <c r="K263" s="3"/>
    </row>
    <row r="264">
      <c r="A264" s="10">
        <v>671.0</v>
      </c>
      <c r="B264" s="3" t="s">
        <v>2037</v>
      </c>
      <c r="C264" s="3" t="s">
        <v>2038</v>
      </c>
      <c r="D264" s="3" t="s">
        <v>2039</v>
      </c>
      <c r="E264" s="10">
        <v>5.70056000306E11</v>
      </c>
      <c r="F264" s="3" t="s">
        <v>1816</v>
      </c>
      <c r="G264" s="3" t="s">
        <v>12</v>
      </c>
      <c r="H264" s="12" t="s">
        <v>1984</v>
      </c>
      <c r="I264" s="3"/>
      <c r="J264" s="3"/>
      <c r="K264" s="3"/>
    </row>
    <row r="265">
      <c r="A265" s="10">
        <v>672.0</v>
      </c>
      <c r="B265" s="3" t="s">
        <v>2040</v>
      </c>
      <c r="C265" s="3" t="s">
        <v>1368</v>
      </c>
      <c r="D265" s="3" t="s">
        <v>692</v>
      </c>
      <c r="E265" s="10">
        <v>5.70056000308E11</v>
      </c>
      <c r="F265" s="3" t="s">
        <v>2041</v>
      </c>
      <c r="G265" s="3" t="s">
        <v>197</v>
      </c>
      <c r="H265" s="12" t="s">
        <v>1964</v>
      </c>
      <c r="I265" s="3"/>
      <c r="J265" s="3"/>
      <c r="K265" s="3"/>
    </row>
    <row r="266">
      <c r="A266" s="10">
        <v>673.0</v>
      </c>
      <c r="B266" s="3" t="s">
        <v>2042</v>
      </c>
      <c r="C266" s="3" t="s">
        <v>136</v>
      </c>
      <c r="D266" s="3" t="s">
        <v>2043</v>
      </c>
      <c r="E266" s="10">
        <v>5.70056000311E11</v>
      </c>
      <c r="F266" s="3" t="s">
        <v>2044</v>
      </c>
      <c r="G266" s="3" t="s">
        <v>50</v>
      </c>
      <c r="H266" s="12" t="s">
        <v>13</v>
      </c>
      <c r="I266" s="3"/>
      <c r="J266" s="3"/>
      <c r="K266" s="3"/>
    </row>
    <row r="267">
      <c r="A267" s="10">
        <v>674.0</v>
      </c>
      <c r="B267" s="3" t="s">
        <v>2045</v>
      </c>
      <c r="C267" s="3" t="s">
        <v>304</v>
      </c>
      <c r="D267" s="3" t="s">
        <v>2046</v>
      </c>
      <c r="E267" s="10">
        <v>5.70056000312E11</v>
      </c>
      <c r="F267" s="3" t="s">
        <v>2047</v>
      </c>
      <c r="G267" s="3" t="s">
        <v>50</v>
      </c>
      <c r="H267" s="12" t="s">
        <v>13</v>
      </c>
      <c r="I267" s="3"/>
      <c r="J267" s="3"/>
      <c r="K267" s="3"/>
    </row>
    <row r="268">
      <c r="A268" s="10">
        <v>675.0</v>
      </c>
      <c r="B268" s="3" t="s">
        <v>2048</v>
      </c>
      <c r="C268" s="3" t="s">
        <v>599</v>
      </c>
      <c r="D268" s="3" t="s">
        <v>2049</v>
      </c>
      <c r="E268" s="10">
        <v>5.70056000313E11</v>
      </c>
      <c r="F268" s="3" t="s">
        <v>2050</v>
      </c>
      <c r="G268" s="3" t="s">
        <v>50</v>
      </c>
      <c r="H268" s="12" t="s">
        <v>13</v>
      </c>
      <c r="I268" s="3"/>
      <c r="J268" s="3"/>
      <c r="K268" s="3"/>
    </row>
    <row r="269">
      <c r="A269" s="10">
        <v>676.0</v>
      </c>
      <c r="B269" s="3" t="s">
        <v>2051</v>
      </c>
      <c r="C269" s="3" t="s">
        <v>2052</v>
      </c>
      <c r="D269" s="3" t="s">
        <v>2053</v>
      </c>
      <c r="E269" s="10">
        <v>5.70056000314E11</v>
      </c>
      <c r="F269" s="3" t="s">
        <v>2054</v>
      </c>
      <c r="G269" s="3" t="s">
        <v>50</v>
      </c>
      <c r="H269" s="12" t="s">
        <v>13</v>
      </c>
      <c r="I269" s="3"/>
      <c r="J269" s="3"/>
      <c r="K269" s="3"/>
    </row>
    <row r="270">
      <c r="A270" s="10">
        <v>677.0</v>
      </c>
      <c r="B270" s="3" t="s">
        <v>2055</v>
      </c>
      <c r="C270" s="3" t="s">
        <v>2056</v>
      </c>
      <c r="D270" s="3" t="s">
        <v>2057</v>
      </c>
      <c r="E270" s="10">
        <v>5.70056000316E11</v>
      </c>
      <c r="F270" s="3" t="s">
        <v>2058</v>
      </c>
      <c r="G270" s="3" t="s">
        <v>50</v>
      </c>
      <c r="H270" s="12" t="s">
        <v>13</v>
      </c>
      <c r="I270" s="3"/>
      <c r="J270" s="3"/>
      <c r="K270" s="3"/>
    </row>
    <row r="271">
      <c r="A271" s="10">
        <v>678.0</v>
      </c>
      <c r="B271" s="3" t="s">
        <v>2059</v>
      </c>
      <c r="C271" s="3" t="s">
        <v>406</v>
      </c>
      <c r="D271" s="3" t="s">
        <v>2060</v>
      </c>
      <c r="E271" s="10">
        <v>5.70056000317E11</v>
      </c>
      <c r="F271" s="3" t="s">
        <v>854</v>
      </c>
      <c r="G271" s="3" t="s">
        <v>37</v>
      </c>
      <c r="H271" s="12" t="s">
        <v>13</v>
      </c>
      <c r="I271" s="3"/>
      <c r="J271" s="3"/>
      <c r="K271" s="3"/>
    </row>
    <row r="272">
      <c r="A272" s="10">
        <v>679.0</v>
      </c>
      <c r="B272" s="3" t="s">
        <v>2061</v>
      </c>
      <c r="C272" s="3" t="s">
        <v>406</v>
      </c>
      <c r="D272" s="3" t="s">
        <v>2060</v>
      </c>
      <c r="E272" s="10">
        <v>5.70056000321E11</v>
      </c>
      <c r="F272" s="3" t="s">
        <v>2062</v>
      </c>
      <c r="G272" s="3" t="s">
        <v>50</v>
      </c>
      <c r="H272" s="12" t="s">
        <v>13</v>
      </c>
      <c r="I272" s="3"/>
      <c r="J272" s="3"/>
      <c r="K272" s="3"/>
    </row>
    <row r="273">
      <c r="A273" s="10">
        <v>680.0</v>
      </c>
      <c r="B273" s="3" t="s">
        <v>2063</v>
      </c>
      <c r="C273" s="3" t="s">
        <v>2064</v>
      </c>
      <c r="D273" s="3" t="s">
        <v>2010</v>
      </c>
      <c r="E273" s="10">
        <v>5.70056000323E11</v>
      </c>
      <c r="F273" s="3" t="s">
        <v>2065</v>
      </c>
      <c r="G273" s="3" t="s">
        <v>50</v>
      </c>
      <c r="H273" s="12" t="s">
        <v>13</v>
      </c>
      <c r="I273" s="3"/>
      <c r="J273" s="3"/>
      <c r="K273" s="3"/>
    </row>
    <row r="274">
      <c r="A274" s="10">
        <v>681.0</v>
      </c>
      <c r="B274" s="3" t="s">
        <v>2066</v>
      </c>
      <c r="C274" s="3" t="s">
        <v>2067</v>
      </c>
      <c r="D274" s="3" t="s">
        <v>2068</v>
      </c>
      <c r="E274" s="10">
        <v>5.70056000324E11</v>
      </c>
      <c r="F274" s="3" t="s">
        <v>2069</v>
      </c>
      <c r="G274" s="3" t="s">
        <v>37</v>
      </c>
      <c r="H274" s="12" t="s">
        <v>13</v>
      </c>
      <c r="I274" s="3"/>
      <c r="J274" s="3"/>
      <c r="K274" s="3"/>
    </row>
    <row r="275">
      <c r="A275" s="10">
        <v>682.0</v>
      </c>
      <c r="B275" s="3" t="s">
        <v>2070</v>
      </c>
      <c r="C275" s="3" t="s">
        <v>331</v>
      </c>
      <c r="D275" s="3" t="s">
        <v>1998</v>
      </c>
      <c r="E275" s="10">
        <v>5.70056000325E11</v>
      </c>
      <c r="F275" s="3" t="s">
        <v>2071</v>
      </c>
      <c r="G275" s="3" t="s">
        <v>12</v>
      </c>
      <c r="H275" s="12" t="s">
        <v>13</v>
      </c>
      <c r="I275" s="3"/>
      <c r="J275" s="3"/>
      <c r="K275" s="3"/>
    </row>
    <row r="276">
      <c r="A276" s="10">
        <v>683.0</v>
      </c>
      <c r="B276" s="3" t="s">
        <v>2072</v>
      </c>
      <c r="C276" s="3" t="s">
        <v>2073</v>
      </c>
      <c r="D276" s="3" t="s">
        <v>2074</v>
      </c>
      <c r="E276" s="10">
        <v>5.70056000326E11</v>
      </c>
      <c r="F276" s="3" t="s">
        <v>2075</v>
      </c>
      <c r="G276" s="3" t="s">
        <v>50</v>
      </c>
      <c r="H276" s="12" t="s">
        <v>13</v>
      </c>
      <c r="I276" s="3"/>
      <c r="J276" s="3"/>
      <c r="K276" s="3"/>
    </row>
    <row r="277">
      <c r="A277" s="10">
        <v>684.0</v>
      </c>
      <c r="B277" s="3" t="s">
        <v>2076</v>
      </c>
      <c r="C277" s="3" t="s">
        <v>33</v>
      </c>
      <c r="D277" s="3" t="s">
        <v>1828</v>
      </c>
      <c r="E277" s="10">
        <v>5.70056000328E11</v>
      </c>
      <c r="F277" s="3" t="s">
        <v>2077</v>
      </c>
      <c r="G277" s="3" t="s">
        <v>1814</v>
      </c>
      <c r="H277" s="12" t="s">
        <v>13</v>
      </c>
      <c r="I277" s="3"/>
      <c r="J277" s="3"/>
      <c r="K277" s="3"/>
    </row>
    <row r="278">
      <c r="A278" s="10">
        <v>685.0</v>
      </c>
      <c r="B278" s="3" t="s">
        <v>533</v>
      </c>
      <c r="C278" s="3" t="s">
        <v>469</v>
      </c>
      <c r="D278" s="3" t="s">
        <v>1370</v>
      </c>
      <c r="E278" s="10">
        <v>5.70056000329E11</v>
      </c>
      <c r="F278" s="3" t="s">
        <v>2078</v>
      </c>
      <c r="G278" s="3" t="s">
        <v>1814</v>
      </c>
      <c r="H278" s="12" t="s">
        <v>13</v>
      </c>
      <c r="I278" s="3"/>
      <c r="J278" s="3"/>
      <c r="K278" s="3"/>
    </row>
    <row r="279">
      <c r="A279" s="10">
        <v>686.0</v>
      </c>
      <c r="B279" s="3" t="s">
        <v>2079</v>
      </c>
      <c r="C279" s="3" t="s">
        <v>285</v>
      </c>
      <c r="D279" s="3" t="s">
        <v>2080</v>
      </c>
      <c r="E279" s="10">
        <v>5.7005600033E11</v>
      </c>
      <c r="F279" s="3" t="s">
        <v>2081</v>
      </c>
      <c r="G279" s="3" t="s">
        <v>1814</v>
      </c>
      <c r="H279" s="12" t="s">
        <v>28</v>
      </c>
      <c r="I279" s="3"/>
      <c r="J279" s="3"/>
      <c r="K279" s="3"/>
    </row>
    <row r="280">
      <c r="A280" s="10">
        <v>687.0</v>
      </c>
      <c r="B280" s="3" t="s">
        <v>2082</v>
      </c>
      <c r="C280" s="3" t="s">
        <v>2083</v>
      </c>
      <c r="D280" s="3" t="s">
        <v>2084</v>
      </c>
      <c r="E280" s="10">
        <v>5.70056000331E11</v>
      </c>
      <c r="F280" s="3" t="s">
        <v>2085</v>
      </c>
      <c r="G280" s="3" t="s">
        <v>12</v>
      </c>
      <c r="H280" s="12" t="s">
        <v>13</v>
      </c>
      <c r="I280" s="3"/>
      <c r="J280" s="3"/>
      <c r="K280" s="3"/>
    </row>
    <row r="281">
      <c r="A281" s="10">
        <v>688.0</v>
      </c>
      <c r="B281" s="3" t="s">
        <v>2086</v>
      </c>
      <c r="C281" s="3" t="s">
        <v>2087</v>
      </c>
      <c r="D281" s="3" t="s">
        <v>280</v>
      </c>
      <c r="E281" s="10">
        <v>5.70056000332E11</v>
      </c>
      <c r="F281" s="3" t="s">
        <v>2088</v>
      </c>
      <c r="G281" s="3" t="s">
        <v>50</v>
      </c>
      <c r="H281" s="12" t="s">
        <v>13</v>
      </c>
      <c r="I281" s="3"/>
      <c r="J281" s="3"/>
      <c r="K281" s="3"/>
    </row>
    <row r="282">
      <c r="A282" s="10">
        <v>689.0</v>
      </c>
      <c r="B282" s="3" t="s">
        <v>2089</v>
      </c>
      <c r="C282" s="3" t="s">
        <v>2090</v>
      </c>
      <c r="D282" s="3" t="s">
        <v>1293</v>
      </c>
      <c r="E282" s="10">
        <v>5.70056000294E11</v>
      </c>
      <c r="F282" s="3" t="s">
        <v>2091</v>
      </c>
      <c r="G282" s="3" t="s">
        <v>50</v>
      </c>
      <c r="H282" s="12" t="s">
        <v>1964</v>
      </c>
      <c r="I282" s="3"/>
      <c r="J282" s="3"/>
      <c r="K282" s="3"/>
    </row>
    <row r="283">
      <c r="A283" s="10">
        <v>690.0</v>
      </c>
      <c r="B283" s="3" t="s">
        <v>2092</v>
      </c>
      <c r="C283" s="3" t="s">
        <v>202</v>
      </c>
      <c r="D283" s="3" t="s">
        <v>171</v>
      </c>
      <c r="E283" s="10">
        <v>5.70056000335E11</v>
      </c>
      <c r="F283" s="3" t="s">
        <v>2093</v>
      </c>
      <c r="G283" s="3" t="s">
        <v>27</v>
      </c>
      <c r="H283" s="12" t="s">
        <v>2094</v>
      </c>
      <c r="I283" s="3"/>
      <c r="J283" s="3"/>
      <c r="K283" s="3"/>
    </row>
    <row r="284">
      <c r="A284" s="10">
        <v>691.0</v>
      </c>
      <c r="B284" s="3" t="s">
        <v>2095</v>
      </c>
      <c r="C284" s="3" t="s">
        <v>669</v>
      </c>
      <c r="D284" s="3" t="s">
        <v>2096</v>
      </c>
      <c r="E284" s="10">
        <v>5.70056000337E11</v>
      </c>
      <c r="F284" s="3" t="s">
        <v>2097</v>
      </c>
      <c r="G284" s="3" t="s">
        <v>50</v>
      </c>
      <c r="H284" s="12" t="s">
        <v>2098</v>
      </c>
      <c r="I284" s="3"/>
      <c r="J284" s="3"/>
      <c r="K284" s="3"/>
    </row>
    <row r="285">
      <c r="A285" s="10">
        <v>692.0</v>
      </c>
      <c r="B285" s="3" t="s">
        <v>2099</v>
      </c>
      <c r="C285" s="3" t="s">
        <v>471</v>
      </c>
      <c r="D285" s="3" t="s">
        <v>118</v>
      </c>
      <c r="E285" s="10">
        <v>5.7005600034E11</v>
      </c>
      <c r="F285" s="3" t="s">
        <v>2100</v>
      </c>
      <c r="G285" s="3" t="s">
        <v>12</v>
      </c>
      <c r="H285" s="12" t="s">
        <v>2101</v>
      </c>
      <c r="I285" s="3"/>
      <c r="J285" s="3"/>
      <c r="K285" s="3"/>
    </row>
    <row r="286">
      <c r="A286" s="10">
        <v>693.0</v>
      </c>
      <c r="B286" s="3" t="s">
        <v>2102</v>
      </c>
      <c r="C286" s="3" t="s">
        <v>2103</v>
      </c>
      <c r="D286" s="3" t="s">
        <v>1427</v>
      </c>
      <c r="E286" s="10">
        <v>5.70056000341E11</v>
      </c>
      <c r="F286" s="3" t="s">
        <v>2104</v>
      </c>
      <c r="G286" s="3" t="s">
        <v>12</v>
      </c>
      <c r="H286" s="12" t="s">
        <v>2105</v>
      </c>
      <c r="I286" s="3"/>
      <c r="J286" s="3"/>
      <c r="K286" s="3"/>
    </row>
    <row r="287">
      <c r="A287" s="10">
        <v>694.0</v>
      </c>
      <c r="B287" s="3" t="s">
        <v>2106</v>
      </c>
      <c r="C287" s="3" t="s">
        <v>2107</v>
      </c>
      <c r="D287" s="3" t="s">
        <v>1293</v>
      </c>
      <c r="E287" s="10">
        <v>5.70056000342E11</v>
      </c>
      <c r="F287" s="3" t="s">
        <v>2108</v>
      </c>
      <c r="G287" s="3" t="s">
        <v>12</v>
      </c>
      <c r="H287" s="12" t="s">
        <v>2109</v>
      </c>
      <c r="I287" s="3"/>
      <c r="J287" s="3"/>
      <c r="K287" s="3"/>
    </row>
    <row r="288">
      <c r="A288" s="10">
        <v>695.0</v>
      </c>
      <c r="B288" s="3" t="s">
        <v>2110</v>
      </c>
      <c r="C288" s="3" t="s">
        <v>1373</v>
      </c>
      <c r="D288" s="3" t="s">
        <v>2033</v>
      </c>
      <c r="E288" s="10">
        <v>5.70056000343E11</v>
      </c>
      <c r="F288" s="3" t="s">
        <v>2111</v>
      </c>
      <c r="G288" s="3" t="s">
        <v>12</v>
      </c>
      <c r="H288" s="12" t="s">
        <v>2112</v>
      </c>
      <c r="I288" s="3"/>
      <c r="J288" s="3"/>
      <c r="K288" s="3"/>
    </row>
    <row r="289">
      <c r="A289" s="10">
        <v>696.0</v>
      </c>
      <c r="B289" s="3" t="s">
        <v>2113</v>
      </c>
      <c r="C289" s="3" t="s">
        <v>223</v>
      </c>
      <c r="D289" s="3" t="s">
        <v>2114</v>
      </c>
      <c r="E289" s="10">
        <v>5.7005600035E11</v>
      </c>
      <c r="F289" s="3" t="s">
        <v>2115</v>
      </c>
      <c r="G289" s="3" t="s">
        <v>50</v>
      </c>
      <c r="H289" s="12" t="s">
        <v>2116</v>
      </c>
      <c r="I289" s="3"/>
      <c r="J289" s="3"/>
      <c r="K289" s="3"/>
    </row>
    <row r="290">
      <c r="A290" s="10">
        <v>697.0</v>
      </c>
      <c r="B290" s="3" t="s">
        <v>2117</v>
      </c>
      <c r="C290" s="3" t="s">
        <v>2118</v>
      </c>
      <c r="D290" s="3" t="s">
        <v>2119</v>
      </c>
      <c r="E290" s="10">
        <v>5.70056000352E11</v>
      </c>
      <c r="F290" s="3" t="s">
        <v>2120</v>
      </c>
      <c r="G290" s="3" t="s">
        <v>12</v>
      </c>
      <c r="H290" s="12" t="s">
        <v>2121</v>
      </c>
      <c r="I290" s="3"/>
      <c r="J290" s="3"/>
      <c r="K290" s="3"/>
    </row>
    <row r="291">
      <c r="A291" s="10">
        <v>698.0</v>
      </c>
      <c r="B291" s="3" t="s">
        <v>2122</v>
      </c>
      <c r="C291" s="3" t="s">
        <v>2123</v>
      </c>
      <c r="D291" s="3" t="s">
        <v>2124</v>
      </c>
      <c r="E291" s="10">
        <v>5.70056000353E11</v>
      </c>
      <c r="F291" s="3" t="s">
        <v>2125</v>
      </c>
      <c r="G291" s="3" t="s">
        <v>50</v>
      </c>
      <c r="H291" s="12" t="s">
        <v>2126</v>
      </c>
      <c r="I291" s="3"/>
      <c r="J291" s="3"/>
      <c r="K291" s="3"/>
    </row>
    <row r="292">
      <c r="A292" s="10">
        <v>699.0</v>
      </c>
      <c r="B292" s="3" t="s">
        <v>2127</v>
      </c>
      <c r="C292" s="3" t="s">
        <v>2128</v>
      </c>
      <c r="D292" s="3" t="s">
        <v>2129</v>
      </c>
      <c r="E292" s="10">
        <v>5.7005600036E11</v>
      </c>
      <c r="F292" s="3" t="s">
        <v>2130</v>
      </c>
      <c r="G292" s="3" t="s">
        <v>50</v>
      </c>
      <c r="H292" s="12" t="s">
        <v>2101</v>
      </c>
      <c r="I292" s="3"/>
      <c r="J292" s="3"/>
      <c r="K292" s="3"/>
    </row>
    <row r="293">
      <c r="A293" s="10">
        <v>700.0</v>
      </c>
      <c r="B293" s="3" t="s">
        <v>2131</v>
      </c>
      <c r="C293" s="3" t="s">
        <v>2132</v>
      </c>
      <c r="D293" s="3" t="s">
        <v>2133</v>
      </c>
      <c r="E293" s="10">
        <v>5.70056000361E11</v>
      </c>
      <c r="F293" s="3" t="s">
        <v>2134</v>
      </c>
      <c r="G293" s="3" t="s">
        <v>50</v>
      </c>
      <c r="H293" s="12" t="s">
        <v>2135</v>
      </c>
      <c r="I293" s="3"/>
      <c r="J293" s="3"/>
      <c r="K293" s="3"/>
    </row>
    <row r="294">
      <c r="A294" s="10">
        <v>701.0</v>
      </c>
      <c r="B294" s="3" t="s">
        <v>2136</v>
      </c>
      <c r="C294" s="3" t="s">
        <v>2027</v>
      </c>
      <c r="D294" s="3" t="s">
        <v>2137</v>
      </c>
      <c r="E294" s="10">
        <v>5.70056000364E11</v>
      </c>
      <c r="F294" s="3" t="s">
        <v>2138</v>
      </c>
      <c r="G294" s="3" t="s">
        <v>50</v>
      </c>
      <c r="H294" s="12" t="s">
        <v>2101</v>
      </c>
      <c r="I294" s="3"/>
      <c r="J294" s="3"/>
      <c r="K294" s="3"/>
    </row>
    <row r="295">
      <c r="A295" s="10">
        <v>702.0</v>
      </c>
      <c r="B295" s="3" t="s">
        <v>2139</v>
      </c>
      <c r="C295" s="3" t="s">
        <v>2103</v>
      </c>
      <c r="D295" s="3" t="s">
        <v>1427</v>
      </c>
      <c r="E295" s="10">
        <v>5.70056000366E11</v>
      </c>
      <c r="F295" s="3" t="s">
        <v>2140</v>
      </c>
      <c r="G295" s="3" t="s">
        <v>12</v>
      </c>
      <c r="H295" s="12" t="s">
        <v>13</v>
      </c>
      <c r="I295" s="3"/>
      <c r="J295" s="3"/>
      <c r="K295" s="3"/>
    </row>
    <row r="296">
      <c r="A296" s="10">
        <v>703.0</v>
      </c>
      <c r="B296" s="3" t="s">
        <v>2141</v>
      </c>
      <c r="C296" s="3" t="s">
        <v>2142</v>
      </c>
      <c r="D296" s="3" t="s">
        <v>2143</v>
      </c>
      <c r="E296" s="10">
        <v>5.70056000127E11</v>
      </c>
      <c r="F296" s="3" t="s">
        <v>2144</v>
      </c>
      <c r="G296" s="3" t="s">
        <v>12</v>
      </c>
      <c r="H296" s="12" t="s">
        <v>28</v>
      </c>
      <c r="I296" s="3"/>
      <c r="J296" s="3"/>
      <c r="K296" s="3"/>
    </row>
    <row r="297">
      <c r="A297" s="10">
        <v>704.0</v>
      </c>
      <c r="B297" s="3" t="s">
        <v>2145</v>
      </c>
      <c r="C297" s="3" t="s">
        <v>90</v>
      </c>
      <c r="D297" s="3" t="s">
        <v>2146</v>
      </c>
      <c r="E297" s="10">
        <v>5.70056000256E11</v>
      </c>
      <c r="F297" s="3" t="s">
        <v>2147</v>
      </c>
      <c r="G297" s="3" t="s">
        <v>1963</v>
      </c>
      <c r="H297" s="12" t="s">
        <v>2148</v>
      </c>
      <c r="I297" s="3"/>
      <c r="J297" s="3"/>
      <c r="K297" s="3"/>
    </row>
    <row r="298">
      <c r="A298" s="10">
        <v>705.0</v>
      </c>
      <c r="B298" s="3" t="s">
        <v>2149</v>
      </c>
      <c r="C298" s="3" t="s">
        <v>549</v>
      </c>
      <c r="D298" s="3" t="s">
        <v>2150</v>
      </c>
      <c r="E298" s="10">
        <v>5.70056000369E11</v>
      </c>
      <c r="F298" s="3" t="s">
        <v>2151</v>
      </c>
      <c r="G298" s="3" t="s">
        <v>12</v>
      </c>
      <c r="H298" s="12" t="s">
        <v>2152</v>
      </c>
      <c r="I298" s="3"/>
      <c r="J298" s="3"/>
      <c r="K298" s="3"/>
    </row>
    <row r="299">
      <c r="A299" s="10">
        <v>706.0</v>
      </c>
      <c r="B299" s="3" t="s">
        <v>2153</v>
      </c>
      <c r="C299" s="3" t="s">
        <v>262</v>
      </c>
      <c r="D299" s="3" t="s">
        <v>2154</v>
      </c>
      <c r="E299" s="10">
        <v>5.70056000371E11</v>
      </c>
      <c r="F299" s="3" t="s">
        <v>2155</v>
      </c>
      <c r="G299" s="3" t="s">
        <v>50</v>
      </c>
      <c r="H299" s="12" t="s">
        <v>13</v>
      </c>
      <c r="I299" s="3"/>
      <c r="J299" s="3"/>
      <c r="K299" s="3"/>
    </row>
    <row r="300">
      <c r="A300" s="10">
        <v>707.0</v>
      </c>
      <c r="B300" s="3" t="s">
        <v>751</v>
      </c>
      <c r="C300" s="3" t="s">
        <v>2156</v>
      </c>
      <c r="D300" s="3" t="s">
        <v>2157</v>
      </c>
      <c r="E300" s="10">
        <v>5.70056000372E11</v>
      </c>
      <c r="F300" s="3" t="s">
        <v>2158</v>
      </c>
      <c r="G300" s="3" t="s">
        <v>12</v>
      </c>
      <c r="H300" s="12" t="s">
        <v>13</v>
      </c>
      <c r="I300" s="3"/>
      <c r="J300" s="3"/>
      <c r="K300" s="3"/>
    </row>
    <row r="301">
      <c r="A301" s="10">
        <v>708.0</v>
      </c>
      <c r="B301" s="3" t="s">
        <v>1351</v>
      </c>
      <c r="C301" s="3" t="s">
        <v>2159</v>
      </c>
      <c r="D301" s="3" t="s">
        <v>25</v>
      </c>
      <c r="E301" s="10">
        <v>5.70056000373E11</v>
      </c>
      <c r="F301" s="3" t="s">
        <v>2160</v>
      </c>
      <c r="G301" s="3" t="s">
        <v>50</v>
      </c>
      <c r="H301" s="12" t="s">
        <v>13</v>
      </c>
      <c r="I301" s="3"/>
      <c r="J301" s="3"/>
      <c r="K301" s="3"/>
    </row>
    <row r="302">
      <c r="A302" s="10">
        <v>709.0</v>
      </c>
      <c r="B302" s="3" t="s">
        <v>2161</v>
      </c>
      <c r="C302" s="3" t="s">
        <v>565</v>
      </c>
      <c r="D302" s="3" t="s">
        <v>2162</v>
      </c>
      <c r="E302" s="10">
        <v>5.70056000374E11</v>
      </c>
      <c r="F302" s="3" t="s">
        <v>2163</v>
      </c>
      <c r="G302" s="3" t="s">
        <v>12</v>
      </c>
      <c r="H302" s="12" t="s">
        <v>13</v>
      </c>
      <c r="I302" s="3"/>
      <c r="J302" s="3"/>
      <c r="K302" s="3"/>
    </row>
    <row r="303">
      <c r="A303" s="10">
        <v>710.0</v>
      </c>
      <c r="B303" s="3" t="s">
        <v>2164</v>
      </c>
      <c r="C303" s="3" t="s">
        <v>80</v>
      </c>
      <c r="D303" s="3" t="s">
        <v>2165</v>
      </c>
      <c r="E303" s="10">
        <v>5.70056000375E11</v>
      </c>
      <c r="F303" s="3" t="s">
        <v>2166</v>
      </c>
      <c r="G303" s="3" t="s">
        <v>1814</v>
      </c>
      <c r="H303" s="12" t="s">
        <v>13</v>
      </c>
      <c r="I303" s="3"/>
      <c r="J303" s="3"/>
      <c r="K303" s="3"/>
    </row>
    <row r="304">
      <c r="A304" s="10">
        <v>711.0</v>
      </c>
      <c r="B304" s="3" t="s">
        <v>2167</v>
      </c>
      <c r="C304" s="3" t="s">
        <v>2168</v>
      </c>
      <c r="D304" s="3" t="s">
        <v>2169</v>
      </c>
      <c r="E304" s="10">
        <v>5.70056000376E11</v>
      </c>
      <c r="F304" s="3" t="s">
        <v>2170</v>
      </c>
      <c r="G304" s="3" t="s">
        <v>12</v>
      </c>
      <c r="H304" s="12" t="s">
        <v>13</v>
      </c>
      <c r="I304" s="3"/>
      <c r="J304" s="3"/>
      <c r="K304" s="3"/>
    </row>
    <row r="305">
      <c r="A305" s="10">
        <v>712.0</v>
      </c>
      <c r="B305" s="3" t="s">
        <v>2171</v>
      </c>
      <c r="C305" s="3" t="s">
        <v>372</v>
      </c>
      <c r="D305" s="3" t="s">
        <v>2172</v>
      </c>
      <c r="E305" s="10">
        <v>5.70056000381E11</v>
      </c>
      <c r="F305" s="3" t="s">
        <v>2173</v>
      </c>
      <c r="G305" s="3" t="s">
        <v>50</v>
      </c>
      <c r="H305" s="12" t="s">
        <v>13</v>
      </c>
      <c r="I305" s="3"/>
      <c r="J305" s="3"/>
      <c r="K305" s="3"/>
    </row>
    <row r="306">
      <c r="A306" s="10">
        <v>713.0</v>
      </c>
      <c r="B306" s="3" t="s">
        <v>2174</v>
      </c>
      <c r="C306" s="3" t="s">
        <v>735</v>
      </c>
      <c r="D306" s="3" t="s">
        <v>2175</v>
      </c>
      <c r="E306" s="10">
        <v>5.70056000382E11</v>
      </c>
      <c r="F306" s="3" t="s">
        <v>2176</v>
      </c>
      <c r="G306" s="3" t="s">
        <v>50</v>
      </c>
      <c r="H306" s="12" t="s">
        <v>13</v>
      </c>
      <c r="I306" s="3"/>
      <c r="J306" s="3"/>
      <c r="K306" s="3"/>
    </row>
    <row r="307">
      <c r="A307" s="10">
        <v>714.0</v>
      </c>
      <c r="B307" s="3" t="s">
        <v>2177</v>
      </c>
      <c r="C307" s="3" t="s">
        <v>2178</v>
      </c>
      <c r="D307" s="3" t="s">
        <v>2179</v>
      </c>
      <c r="E307" s="10">
        <v>5.70056000384E11</v>
      </c>
      <c r="F307" s="3" t="s">
        <v>2180</v>
      </c>
      <c r="G307" s="3" t="s">
        <v>12</v>
      </c>
      <c r="H307" s="12" t="s">
        <v>13</v>
      </c>
      <c r="I307" s="3"/>
      <c r="J307" s="3"/>
      <c r="K307" s="3"/>
    </row>
    <row r="308">
      <c r="A308" s="10">
        <v>715.0</v>
      </c>
      <c r="B308" s="3" t="s">
        <v>2181</v>
      </c>
      <c r="C308" s="3" t="s">
        <v>133</v>
      </c>
      <c r="D308" s="3" t="s">
        <v>2182</v>
      </c>
      <c r="E308" s="10">
        <v>5.70056000385E11</v>
      </c>
      <c r="F308" s="3" t="s">
        <v>2183</v>
      </c>
      <c r="G308" s="3" t="s">
        <v>50</v>
      </c>
      <c r="H308" s="12" t="s">
        <v>13</v>
      </c>
      <c r="I308" s="3"/>
      <c r="J308" s="3"/>
      <c r="K308" s="3"/>
    </row>
    <row r="309">
      <c r="A309" s="10">
        <v>716.0</v>
      </c>
      <c r="B309" s="3" t="s">
        <v>2184</v>
      </c>
      <c r="C309" s="3" t="s">
        <v>1413</v>
      </c>
      <c r="D309" s="3" t="s">
        <v>2185</v>
      </c>
      <c r="E309" s="10">
        <v>5.70056000386E11</v>
      </c>
      <c r="F309" s="3" t="s">
        <v>2186</v>
      </c>
      <c r="G309" s="3" t="s">
        <v>50</v>
      </c>
      <c r="H309" s="12" t="s">
        <v>13</v>
      </c>
      <c r="I309" s="3"/>
      <c r="J309" s="3"/>
      <c r="K309" s="3"/>
    </row>
    <row r="310">
      <c r="A310" s="10">
        <v>717.0</v>
      </c>
      <c r="B310" s="3" t="s">
        <v>2061</v>
      </c>
      <c r="C310" s="3" t="s">
        <v>80</v>
      </c>
      <c r="D310" s="3" t="s">
        <v>2855</v>
      </c>
      <c r="E310" s="10">
        <v>5.70056000387E11</v>
      </c>
      <c r="F310" s="3" t="s">
        <v>2187</v>
      </c>
      <c r="G310" s="3" t="s">
        <v>12</v>
      </c>
      <c r="H310" s="12" t="s">
        <v>13</v>
      </c>
      <c r="I310" s="3"/>
      <c r="J310" s="3"/>
      <c r="K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</row>
  </sheetData>
  <drawing r:id="rId1"/>
</worksheet>
</file>